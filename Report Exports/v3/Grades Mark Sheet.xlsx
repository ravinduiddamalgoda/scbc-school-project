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180"/>
  </bookViews>
  <sheets>
    <sheet name="Main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4" i="4" l="1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X38" i="4"/>
  <c r="AW38" i="4"/>
  <c r="AV38" i="4"/>
  <c r="AU38" i="4"/>
  <c r="AT38" i="4"/>
  <c r="AM38" i="4"/>
  <c r="AH38" i="4"/>
  <c r="AG38" i="4"/>
  <c r="AF38" i="4"/>
  <c r="AE38" i="4"/>
  <c r="AD38" i="4"/>
  <c r="AC38" i="4"/>
  <c r="AB38" i="4"/>
  <c r="AA38" i="4"/>
  <c r="Y38" i="4"/>
  <c r="X38" i="4"/>
  <c r="W38" i="4"/>
  <c r="AX37" i="4"/>
  <c r="AW37" i="4"/>
  <c r="AV37" i="4"/>
  <c r="AU37" i="4"/>
  <c r="AT37" i="4"/>
  <c r="AR37" i="4"/>
  <c r="AM37" i="4"/>
  <c r="AH37" i="4"/>
  <c r="AG37" i="4"/>
  <c r="AF37" i="4"/>
  <c r="AE37" i="4"/>
  <c r="AD37" i="4"/>
  <c r="AC37" i="4"/>
  <c r="AB37" i="4"/>
  <c r="AA37" i="4"/>
  <c r="Y37" i="4"/>
  <c r="X37" i="4"/>
  <c r="W37" i="4"/>
  <c r="AX36" i="4"/>
  <c r="AW36" i="4"/>
  <c r="AV36" i="4"/>
  <c r="AU36" i="4"/>
  <c r="AT36" i="4"/>
  <c r="AQ36" i="4"/>
  <c r="AM36" i="4"/>
  <c r="AJ36" i="4"/>
  <c r="AG36" i="4"/>
  <c r="AF36" i="4"/>
  <c r="AE36" i="4"/>
  <c r="AD36" i="4"/>
  <c r="AC36" i="4"/>
  <c r="AB36" i="4"/>
  <c r="AA36" i="4"/>
  <c r="Y36" i="4"/>
  <c r="X36" i="4"/>
  <c r="W36" i="4"/>
  <c r="AX35" i="4"/>
  <c r="AW35" i="4"/>
  <c r="AV35" i="4"/>
  <c r="AU35" i="4"/>
  <c r="AT35" i="4"/>
  <c r="AR35" i="4"/>
  <c r="AM35" i="4"/>
  <c r="AH35" i="4"/>
  <c r="AG35" i="4"/>
  <c r="AF35" i="4"/>
  <c r="AE35" i="4"/>
  <c r="AD35" i="4"/>
  <c r="AC35" i="4"/>
  <c r="AB35" i="4"/>
  <c r="AA35" i="4"/>
  <c r="Y35" i="4"/>
  <c r="X35" i="4"/>
  <c r="W35" i="4"/>
  <c r="AX34" i="4"/>
  <c r="AW34" i="4"/>
  <c r="AV34" i="4"/>
  <c r="AU34" i="4"/>
  <c r="AT34" i="4"/>
  <c r="AQ34" i="4"/>
  <c r="AM34" i="4"/>
  <c r="AH34" i="4"/>
  <c r="AG34" i="4"/>
  <c r="AF34" i="4"/>
  <c r="AE34" i="4"/>
  <c r="AD34" i="4"/>
  <c r="AC34" i="4"/>
  <c r="AB34" i="4"/>
  <c r="AA34" i="4"/>
  <c r="Y34" i="4"/>
  <c r="X34" i="4"/>
  <c r="W34" i="4"/>
  <c r="AX33" i="4"/>
  <c r="AW33" i="4"/>
  <c r="AV33" i="4"/>
  <c r="AU33" i="4"/>
  <c r="AT33" i="4"/>
  <c r="AQ33" i="4"/>
  <c r="AM33" i="4"/>
  <c r="AG33" i="4"/>
  <c r="AF33" i="4"/>
  <c r="AE33" i="4"/>
  <c r="AD33" i="4"/>
  <c r="AC33" i="4"/>
  <c r="AB33" i="4"/>
  <c r="AA33" i="4"/>
  <c r="Y33" i="4"/>
  <c r="X33" i="4"/>
  <c r="W33" i="4"/>
  <c r="AX32" i="4"/>
  <c r="AW32" i="4"/>
  <c r="AV32" i="4"/>
  <c r="AU32" i="4"/>
  <c r="AT32" i="4"/>
  <c r="AN32" i="4"/>
  <c r="AM32" i="4"/>
  <c r="AH32" i="4"/>
  <c r="AG32" i="4"/>
  <c r="AF32" i="4"/>
  <c r="AE32" i="4"/>
  <c r="AD32" i="4"/>
  <c r="AC32" i="4"/>
  <c r="AB32" i="4"/>
  <c r="AA32" i="4"/>
  <c r="Y32" i="4"/>
  <c r="X32" i="4"/>
  <c r="W32" i="4"/>
  <c r="AX31" i="4"/>
  <c r="AW31" i="4"/>
  <c r="AV31" i="4"/>
  <c r="AU31" i="4"/>
  <c r="AT31" i="4"/>
  <c r="AN31" i="4"/>
  <c r="AM31" i="4"/>
  <c r="AH31" i="4"/>
  <c r="AG31" i="4"/>
  <c r="AF31" i="4"/>
  <c r="AE31" i="4"/>
  <c r="AD31" i="4"/>
  <c r="AC31" i="4"/>
  <c r="AB31" i="4"/>
  <c r="AA31" i="4"/>
  <c r="Y31" i="4"/>
  <c r="X31" i="4"/>
  <c r="W31" i="4"/>
  <c r="AX30" i="4"/>
  <c r="AW30" i="4"/>
  <c r="AV30" i="4"/>
  <c r="AU30" i="4"/>
  <c r="AT30" i="4"/>
  <c r="AO30" i="4"/>
  <c r="AM30" i="4"/>
  <c r="AK30" i="4"/>
  <c r="AG30" i="4"/>
  <c r="AF30" i="4"/>
  <c r="AE30" i="4"/>
  <c r="AD30" i="4"/>
  <c r="AC30" i="4"/>
  <c r="AB30" i="4"/>
  <c r="AA30" i="4"/>
  <c r="Y30" i="4"/>
  <c r="X30" i="4"/>
  <c r="W30" i="4"/>
  <c r="AX29" i="4"/>
  <c r="AW29" i="4"/>
  <c r="AV29" i="4"/>
  <c r="AU29" i="4"/>
  <c r="AT29" i="4"/>
  <c r="AR29" i="4"/>
  <c r="AM29" i="4"/>
  <c r="AH29" i="4"/>
  <c r="AG29" i="4"/>
  <c r="AF29" i="4"/>
  <c r="AE29" i="4"/>
  <c r="AD29" i="4"/>
  <c r="AC29" i="4"/>
  <c r="AB29" i="4"/>
  <c r="AA29" i="4"/>
  <c r="Y29" i="4"/>
  <c r="X29" i="4"/>
  <c r="W29" i="4"/>
  <c r="AX28" i="4"/>
  <c r="AW28" i="4"/>
  <c r="AV28" i="4"/>
  <c r="AU28" i="4"/>
  <c r="AT28" i="4"/>
  <c r="AR28" i="4"/>
  <c r="AM28" i="4"/>
  <c r="AJ28" i="4"/>
  <c r="AG28" i="4"/>
  <c r="AF28" i="4"/>
  <c r="AE28" i="4"/>
  <c r="AD28" i="4"/>
  <c r="AC28" i="4"/>
  <c r="AB28" i="4"/>
  <c r="AA28" i="4"/>
  <c r="Y28" i="4"/>
  <c r="X28" i="4"/>
  <c r="W28" i="4"/>
  <c r="AX27" i="4"/>
  <c r="AW27" i="4"/>
  <c r="AV27" i="4"/>
  <c r="AU27" i="4"/>
  <c r="AT27" i="4"/>
  <c r="AR27" i="4"/>
  <c r="AM27" i="4"/>
  <c r="AG27" i="4"/>
  <c r="AF27" i="4"/>
  <c r="AE27" i="4"/>
  <c r="AD27" i="4"/>
  <c r="AC27" i="4"/>
  <c r="AB27" i="4"/>
  <c r="AA27" i="4"/>
  <c r="Y27" i="4"/>
  <c r="X27" i="4"/>
  <c r="W27" i="4"/>
  <c r="AX26" i="4"/>
  <c r="AW26" i="4"/>
  <c r="AV26" i="4"/>
  <c r="AU26" i="4"/>
  <c r="AT26" i="4"/>
  <c r="AR26" i="4"/>
  <c r="AM26" i="4"/>
  <c r="AH26" i="4"/>
  <c r="AG26" i="4"/>
  <c r="AF26" i="4"/>
  <c r="AE26" i="4"/>
  <c r="AD26" i="4"/>
  <c r="AC26" i="4"/>
  <c r="AB26" i="4"/>
  <c r="AA26" i="4"/>
  <c r="Y26" i="4"/>
  <c r="X26" i="4"/>
  <c r="W26" i="4"/>
  <c r="AX25" i="4"/>
  <c r="AW25" i="4"/>
  <c r="AV25" i="4"/>
  <c r="AU25" i="4"/>
  <c r="AT25" i="4"/>
  <c r="AO25" i="4"/>
  <c r="AM25" i="4"/>
  <c r="AG25" i="4"/>
  <c r="AF25" i="4"/>
  <c r="AE25" i="4"/>
  <c r="AD25" i="4"/>
  <c r="AC25" i="4"/>
  <c r="AB25" i="4"/>
  <c r="AA25" i="4"/>
  <c r="Y25" i="4"/>
  <c r="X25" i="4"/>
  <c r="W25" i="4"/>
  <c r="AX24" i="4"/>
  <c r="AW24" i="4"/>
  <c r="AV24" i="4"/>
  <c r="AU24" i="4"/>
  <c r="AT24" i="4"/>
  <c r="AO24" i="4"/>
  <c r="AM24" i="4"/>
  <c r="AH24" i="4"/>
  <c r="AG24" i="4"/>
  <c r="AF24" i="4"/>
  <c r="AE24" i="4"/>
  <c r="AD24" i="4"/>
  <c r="AC24" i="4"/>
  <c r="AB24" i="4"/>
  <c r="AA24" i="4"/>
  <c r="Y24" i="4"/>
  <c r="X24" i="4"/>
  <c r="W24" i="4"/>
  <c r="AX23" i="4"/>
  <c r="AW23" i="4"/>
  <c r="AV23" i="4"/>
  <c r="AU23" i="4"/>
  <c r="AT23" i="4"/>
  <c r="AN23" i="4"/>
  <c r="AM23" i="4"/>
  <c r="AH23" i="4"/>
  <c r="AG23" i="4"/>
  <c r="AF23" i="4"/>
  <c r="AE23" i="4"/>
  <c r="AD23" i="4"/>
  <c r="AC23" i="4"/>
  <c r="AB23" i="4"/>
  <c r="AA23" i="4"/>
  <c r="Y23" i="4"/>
  <c r="X23" i="4"/>
  <c r="W23" i="4"/>
  <c r="AX22" i="4"/>
  <c r="AW22" i="4"/>
  <c r="AV22" i="4"/>
  <c r="AU22" i="4"/>
  <c r="AT22" i="4"/>
  <c r="AO22" i="4"/>
  <c r="AM22" i="4"/>
  <c r="AG22" i="4"/>
  <c r="AF22" i="4"/>
  <c r="AE22" i="4"/>
  <c r="AD22" i="4"/>
  <c r="AC22" i="4"/>
  <c r="AB22" i="4"/>
  <c r="AA22" i="4"/>
  <c r="Y22" i="4"/>
  <c r="X22" i="4"/>
  <c r="W22" i="4"/>
  <c r="AX21" i="4"/>
  <c r="AW21" i="4"/>
  <c r="AV21" i="4"/>
  <c r="AU21" i="4"/>
  <c r="AT21" i="4"/>
  <c r="AO21" i="4"/>
  <c r="AM21" i="4"/>
  <c r="AI21" i="4"/>
  <c r="AG21" i="4"/>
  <c r="AF21" i="4"/>
  <c r="AE21" i="4"/>
  <c r="AD21" i="4"/>
  <c r="AC21" i="4"/>
  <c r="AB21" i="4"/>
  <c r="AA21" i="4"/>
  <c r="Y21" i="4"/>
  <c r="X21" i="4"/>
  <c r="W21" i="4"/>
  <c r="AX20" i="4"/>
  <c r="AW20" i="4"/>
  <c r="AV20" i="4"/>
  <c r="AU20" i="4"/>
  <c r="AT20" i="4"/>
  <c r="AR20" i="4"/>
  <c r="AM20" i="4"/>
  <c r="AG20" i="4"/>
  <c r="AF20" i="4"/>
  <c r="AE20" i="4"/>
  <c r="AD20" i="4"/>
  <c r="AC20" i="4"/>
  <c r="AB20" i="4"/>
  <c r="AA20" i="4"/>
  <c r="Y20" i="4"/>
  <c r="X20" i="4"/>
  <c r="W20" i="4"/>
  <c r="AX19" i="4"/>
  <c r="AW19" i="4"/>
  <c r="AV19" i="4"/>
  <c r="AU19" i="4"/>
  <c r="AT19" i="4"/>
  <c r="AO19" i="4"/>
  <c r="AM19" i="4"/>
  <c r="AG19" i="4"/>
  <c r="AF19" i="4"/>
  <c r="AE19" i="4"/>
  <c r="AD19" i="4"/>
  <c r="AC19" i="4"/>
  <c r="AB19" i="4"/>
  <c r="AA19" i="4"/>
  <c r="Y19" i="4"/>
  <c r="X19" i="4"/>
  <c r="W19" i="4"/>
  <c r="AX18" i="4"/>
  <c r="AW18" i="4"/>
  <c r="AV18" i="4"/>
  <c r="AU18" i="4"/>
  <c r="AT18" i="4"/>
  <c r="AQ18" i="4"/>
  <c r="AM18" i="4"/>
  <c r="AG18" i="4"/>
  <c r="AF18" i="4"/>
  <c r="AE18" i="4"/>
  <c r="AD18" i="4"/>
  <c r="AC18" i="4"/>
  <c r="AB18" i="4"/>
  <c r="AA18" i="4"/>
  <c r="Y18" i="4"/>
  <c r="X18" i="4"/>
  <c r="W18" i="4"/>
  <c r="AX17" i="4"/>
  <c r="AW17" i="4"/>
  <c r="AV17" i="4"/>
  <c r="AU17" i="4"/>
  <c r="AT17" i="4"/>
  <c r="AR17" i="4"/>
  <c r="AM17" i="4"/>
  <c r="AJ17" i="4"/>
  <c r="AG17" i="4"/>
  <c r="AF17" i="4"/>
  <c r="AE17" i="4"/>
  <c r="AD17" i="4"/>
  <c r="AC17" i="4"/>
  <c r="AB17" i="4"/>
  <c r="AA17" i="4"/>
  <c r="Y17" i="4"/>
  <c r="X17" i="4"/>
  <c r="W17" i="4"/>
  <c r="AX16" i="4"/>
  <c r="AW16" i="4"/>
  <c r="AV16" i="4"/>
  <c r="AU16" i="4"/>
  <c r="AT16" i="4"/>
  <c r="AO16" i="4"/>
  <c r="AM16" i="4"/>
  <c r="AH16" i="4"/>
  <c r="AG16" i="4"/>
  <c r="AF16" i="4"/>
  <c r="AE16" i="4"/>
  <c r="AD16" i="4"/>
  <c r="AC16" i="4"/>
  <c r="AB16" i="4"/>
  <c r="AA16" i="4"/>
  <c r="Y16" i="4"/>
  <c r="X16" i="4"/>
  <c r="W16" i="4"/>
  <c r="AX15" i="4"/>
  <c r="AW15" i="4"/>
  <c r="AV15" i="4"/>
  <c r="AU15" i="4"/>
  <c r="AT15" i="4"/>
  <c r="AQ15" i="4"/>
  <c r="AM15" i="4"/>
  <c r="AH15" i="4"/>
  <c r="AG15" i="4"/>
  <c r="AF15" i="4"/>
  <c r="AE15" i="4"/>
  <c r="AD15" i="4"/>
  <c r="AC15" i="4"/>
  <c r="AB15" i="4"/>
  <c r="AA15" i="4"/>
  <c r="Y15" i="4"/>
  <c r="X15" i="4"/>
  <c r="W15" i="4"/>
  <c r="AX14" i="4"/>
  <c r="AW14" i="4"/>
  <c r="AV14" i="4"/>
  <c r="AU14" i="4"/>
  <c r="AT14" i="4"/>
  <c r="AO14" i="4"/>
  <c r="AM14" i="4"/>
  <c r="AI14" i="4"/>
  <c r="AG14" i="4"/>
  <c r="AF14" i="4"/>
  <c r="AE14" i="4"/>
  <c r="AD14" i="4"/>
  <c r="AC14" i="4"/>
  <c r="AB14" i="4"/>
  <c r="AA14" i="4"/>
  <c r="Y14" i="4"/>
  <c r="X14" i="4"/>
  <c r="W14" i="4"/>
  <c r="AX13" i="4"/>
  <c r="AW13" i="4"/>
  <c r="AV13" i="4"/>
  <c r="AU13" i="4"/>
  <c r="AT13" i="4"/>
  <c r="AR13" i="4"/>
  <c r="AM13" i="4"/>
  <c r="AI13" i="4"/>
  <c r="AG13" i="4"/>
  <c r="AF13" i="4"/>
  <c r="AE13" i="4"/>
  <c r="AD13" i="4"/>
  <c r="AC13" i="4"/>
  <c r="AB13" i="4"/>
  <c r="AA13" i="4"/>
  <c r="Y13" i="4"/>
  <c r="X13" i="4"/>
  <c r="W13" i="4"/>
  <c r="AX12" i="4"/>
  <c r="AW12" i="4"/>
  <c r="AV12" i="4"/>
  <c r="AU12" i="4"/>
  <c r="AT12" i="4"/>
  <c r="AN12" i="4"/>
  <c r="AM12" i="4"/>
  <c r="AJ12" i="4"/>
  <c r="AG12" i="4"/>
  <c r="AF12" i="4"/>
  <c r="AE12" i="4"/>
  <c r="AD12" i="4"/>
  <c r="AC12" i="4"/>
  <c r="AB12" i="4"/>
  <c r="AA12" i="4"/>
  <c r="Y12" i="4"/>
  <c r="X12" i="4"/>
  <c r="W12" i="4"/>
  <c r="AX11" i="4"/>
  <c r="AW11" i="4"/>
  <c r="AV11" i="4"/>
  <c r="AU11" i="4"/>
  <c r="AT11" i="4"/>
  <c r="AR11" i="4"/>
  <c r="AM11" i="4"/>
  <c r="AJ11" i="4"/>
  <c r="AG11" i="4"/>
  <c r="AF11" i="4"/>
  <c r="AE11" i="4"/>
  <c r="AD11" i="4"/>
  <c r="AC11" i="4"/>
  <c r="AB11" i="4"/>
  <c r="AA11" i="4"/>
  <c r="Y11" i="4"/>
  <c r="X11" i="4"/>
  <c r="W11" i="4"/>
  <c r="AX10" i="4"/>
  <c r="AW10" i="4"/>
  <c r="AV10" i="4"/>
  <c r="AU10" i="4"/>
  <c r="AT10" i="4"/>
  <c r="AR10" i="4"/>
  <c r="AM10" i="4"/>
  <c r="AG10" i="4"/>
  <c r="AF10" i="4"/>
  <c r="AE10" i="4"/>
  <c r="AD10" i="4"/>
  <c r="AC10" i="4"/>
  <c r="AB10" i="4"/>
  <c r="AA10" i="4"/>
  <c r="Y10" i="4"/>
  <c r="X10" i="4"/>
  <c r="W10" i="4"/>
  <c r="AX9" i="4"/>
  <c r="AW9" i="4"/>
  <c r="AV9" i="4"/>
  <c r="AU9" i="4"/>
  <c r="AT9" i="4"/>
  <c r="AR9" i="4"/>
  <c r="AM9" i="4"/>
  <c r="AG9" i="4"/>
  <c r="AF9" i="4"/>
  <c r="AE9" i="4"/>
  <c r="AD9" i="4"/>
  <c r="AC9" i="4"/>
  <c r="AB9" i="4"/>
  <c r="AA9" i="4"/>
  <c r="Y9" i="4"/>
  <c r="X9" i="4"/>
  <c r="W9" i="4"/>
  <c r="AK51" i="1"/>
  <c r="AJ51" i="1"/>
  <c r="AI51" i="1"/>
  <c r="AH51" i="1"/>
  <c r="AG51" i="1"/>
  <c r="AF51" i="1"/>
  <c r="AE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Y41" i="1"/>
  <c r="X41" i="1"/>
  <c r="W41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Y40" i="1"/>
  <c r="X40" i="1"/>
  <c r="W40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Y39" i="1"/>
  <c r="X39" i="1"/>
  <c r="W39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Y38" i="1"/>
  <c r="X38" i="1"/>
  <c r="W38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Y37" i="1"/>
  <c r="X37" i="1"/>
  <c r="W37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Y36" i="1"/>
  <c r="X36" i="1"/>
  <c r="W36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Y35" i="1"/>
  <c r="X35" i="1"/>
  <c r="W35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Y34" i="1"/>
  <c r="X34" i="1"/>
  <c r="W34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Y33" i="1"/>
  <c r="X33" i="1"/>
  <c r="W33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Y32" i="1"/>
  <c r="X32" i="1"/>
  <c r="W32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Y31" i="1"/>
  <c r="X31" i="1"/>
  <c r="W31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Y30" i="1"/>
  <c r="X30" i="1"/>
  <c r="W30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Y28" i="1"/>
  <c r="X28" i="1"/>
  <c r="W28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Y27" i="1"/>
  <c r="X27" i="1"/>
  <c r="W27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Y26" i="1"/>
  <c r="X26" i="1"/>
  <c r="W26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Y25" i="1"/>
  <c r="X25" i="1"/>
  <c r="W25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Y24" i="1"/>
  <c r="X24" i="1"/>
  <c r="W24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B23" i="1"/>
  <c r="AA23" i="1"/>
  <c r="Y23" i="1"/>
  <c r="X23" i="1"/>
  <c r="W23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Y22" i="1"/>
  <c r="X22" i="1"/>
  <c r="W22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Y21" i="1"/>
  <c r="X21" i="1"/>
  <c r="W21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Y20" i="1"/>
  <c r="X20" i="1"/>
  <c r="W20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Y19" i="1"/>
  <c r="X19" i="1"/>
  <c r="W19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Y18" i="1"/>
  <c r="X18" i="1"/>
  <c r="W18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Y17" i="1"/>
  <c r="X17" i="1"/>
  <c r="W17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Y16" i="1"/>
  <c r="X16" i="1"/>
  <c r="W16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Y15" i="1"/>
  <c r="X15" i="1"/>
  <c r="W15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Y14" i="1"/>
  <c r="X14" i="1"/>
  <c r="W14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Y13" i="1"/>
  <c r="X13" i="1"/>
  <c r="W13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Y12" i="1"/>
  <c r="X12" i="1"/>
  <c r="W12" i="1"/>
  <c r="AW11" i="1"/>
  <c r="AV11" i="1"/>
  <c r="AU11" i="1"/>
  <c r="AT11" i="1"/>
  <c r="AS11" i="1"/>
  <c r="AR11" i="1"/>
  <c r="AQ11" i="1"/>
  <c r="AP11" i="1"/>
  <c r="AO11" i="1"/>
  <c r="AN11" i="1"/>
  <c r="AM11" i="1"/>
  <c r="AK11" i="1"/>
  <c r="AJ11" i="1"/>
  <c r="AI11" i="1"/>
  <c r="AH11" i="1"/>
  <c r="AG11" i="1"/>
  <c r="AF11" i="1"/>
  <c r="AE11" i="1"/>
  <c r="AD11" i="1"/>
  <c r="AC11" i="1"/>
  <c r="AB11" i="1"/>
  <c r="AA11" i="1"/>
  <c r="Y11" i="1"/>
  <c r="X11" i="1"/>
  <c r="W11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Y10" i="1"/>
  <c r="X10" i="1"/>
  <c r="W10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Y9" i="1"/>
  <c r="X9" i="1"/>
  <c r="W9" i="1"/>
</calcChain>
</file>

<file path=xl/sharedStrings.xml><?xml version="1.0" encoding="utf-8"?>
<sst xmlns="http://schemas.openxmlformats.org/spreadsheetml/2006/main" count="254" uniqueCount="128">
  <si>
    <t xml:space="preserve">Sri Chandananda Buddhist College Kandy 
Grade 10-E First Term Marks Analysis 
</t>
  </si>
  <si>
    <t>Class</t>
  </si>
  <si>
    <t>10-E</t>
  </si>
  <si>
    <t>Class Teacher</t>
  </si>
  <si>
    <t>Rasangika Wickramsinghe</t>
  </si>
  <si>
    <t>Index Number</t>
  </si>
  <si>
    <t>Admission Number</t>
  </si>
  <si>
    <t>Name</t>
  </si>
  <si>
    <t>Marks</t>
  </si>
  <si>
    <t>Total</t>
  </si>
  <si>
    <t>Average</t>
  </si>
  <si>
    <t>Rank</t>
  </si>
  <si>
    <t>Grade</t>
  </si>
  <si>
    <t>Sinhala</t>
  </si>
  <si>
    <t>Buddhism</t>
  </si>
  <si>
    <t>Mathematics</t>
  </si>
  <si>
    <t>Science</t>
  </si>
  <si>
    <t>English</t>
  </si>
  <si>
    <t>History</t>
  </si>
  <si>
    <t>ICT</t>
  </si>
  <si>
    <t>Category 2</t>
  </si>
  <si>
    <t>Category 3</t>
  </si>
  <si>
    <t>Grade Summary</t>
  </si>
  <si>
    <t>Geography</t>
  </si>
  <si>
    <t>Tamil</t>
  </si>
  <si>
    <t>Japanese</t>
  </si>
  <si>
    <t>Chinese</t>
  </si>
  <si>
    <t>Korean</t>
  </si>
  <si>
    <t>Commece</t>
  </si>
  <si>
    <t>Art</t>
  </si>
  <si>
    <t>Music</t>
  </si>
  <si>
    <t>Dancing</t>
  </si>
  <si>
    <t>Drama</t>
  </si>
  <si>
    <t>Literature</t>
  </si>
  <si>
    <t>A</t>
  </si>
  <si>
    <t>B</t>
  </si>
  <si>
    <t>C</t>
  </si>
  <si>
    <t>S</t>
  </si>
  <si>
    <t>F</t>
  </si>
  <si>
    <t xml:space="preserve"> </t>
  </si>
  <si>
    <t>Nadun Wijesekara</t>
  </si>
  <si>
    <t>Themitha Udan</t>
  </si>
  <si>
    <t>Yeshan Travis</t>
  </si>
  <si>
    <t>Sandaru Rathnayake</t>
  </si>
  <si>
    <t>Senuja Ranathunga</t>
  </si>
  <si>
    <t>Sanuka Manchanayake</t>
  </si>
  <si>
    <t>Kavinu Liyanage</t>
  </si>
  <si>
    <t>Chenul Nethmira</t>
  </si>
  <si>
    <t>Vinuk Senarathne</t>
  </si>
  <si>
    <t>Senuka Rathnayake</t>
  </si>
  <si>
    <t>Vishwa Jayathilake</t>
  </si>
  <si>
    <t xml:space="preserve">Thesan Abeyrathne </t>
  </si>
  <si>
    <t>ab</t>
  </si>
  <si>
    <t>Senitha Ashinshana</t>
  </si>
  <si>
    <t xml:space="preserve">Nadil Lorensuhewa </t>
  </si>
  <si>
    <t xml:space="preserve">Manula Alwis </t>
  </si>
  <si>
    <t>+</t>
  </si>
  <si>
    <t xml:space="preserve">Yenuka Rathnayake </t>
  </si>
  <si>
    <t>Dinuth Karunapala</t>
  </si>
  <si>
    <t>Uvindu Ellekadulla</t>
  </si>
  <si>
    <t>Wathsunu Dewram</t>
  </si>
  <si>
    <t>Chamath Wimalasurendra</t>
  </si>
  <si>
    <t>Dinura Jayawardhana</t>
  </si>
  <si>
    <t xml:space="preserve">Sanula Pahtirana </t>
  </si>
  <si>
    <t>Ronal Amarathunga</t>
  </si>
  <si>
    <t>Jesitha Dewnaka</t>
  </si>
  <si>
    <t xml:space="preserve">Seja Hewage </t>
  </si>
  <si>
    <t xml:space="preserve">Vishwa Edirisinghe </t>
  </si>
  <si>
    <t>Dahamsen Samaranayake</t>
  </si>
  <si>
    <t>Sathija Bandara</t>
  </si>
  <si>
    <t xml:space="preserve">Yevin Rathnayake </t>
  </si>
  <si>
    <t xml:space="preserve">Kaushika Jayasinghe </t>
  </si>
  <si>
    <t xml:space="preserve">Nadawa Kulathunga </t>
  </si>
  <si>
    <t>Pumindu Samarathunga</t>
  </si>
  <si>
    <t>Bihan Wijesundara</t>
  </si>
  <si>
    <t>A Passes</t>
  </si>
  <si>
    <t>0-34</t>
  </si>
  <si>
    <t>B Passes</t>
  </si>
  <si>
    <t>35-54</t>
  </si>
  <si>
    <t>C Passes</t>
  </si>
  <si>
    <t>55-64</t>
  </si>
  <si>
    <t>S Passes</t>
  </si>
  <si>
    <t>65-74</t>
  </si>
  <si>
    <t>F Passes</t>
  </si>
  <si>
    <t>75-100</t>
  </si>
  <si>
    <t>ABSENT</t>
  </si>
  <si>
    <t>Absent</t>
  </si>
  <si>
    <t>Class Teacher's Signature</t>
  </si>
  <si>
    <t>......................................</t>
  </si>
  <si>
    <t>Principal's Signature</t>
  </si>
  <si>
    <t>..................................................</t>
  </si>
  <si>
    <t xml:space="preserve">Sri Chandananda Buddhist College Kandy 
Grade 11  Marks Analysis 
</t>
  </si>
  <si>
    <t>11E</t>
  </si>
  <si>
    <t>Rasangika Wickramasinghe</t>
  </si>
  <si>
    <t>Sandeep  Dissanayake</t>
  </si>
  <si>
    <t>Amila Wataketiya</t>
  </si>
  <si>
    <t>Buddhi  Dissanayake</t>
  </si>
  <si>
    <t>Hasitha Pathirana</t>
  </si>
  <si>
    <t>Sadev Wasala</t>
  </si>
  <si>
    <t>Wenuja Nawarathne</t>
  </si>
  <si>
    <t>Geshan Kulasooriya</t>
  </si>
  <si>
    <t>Mayantha Sirisena</t>
  </si>
  <si>
    <t>Dasindu Sirimanna</t>
  </si>
  <si>
    <t>Bihandu  Dulkith</t>
  </si>
  <si>
    <t>Uvindu Herath</t>
  </si>
  <si>
    <t>Rumeth Situkulage</t>
  </si>
  <si>
    <t>Vinuja Nandasena</t>
  </si>
  <si>
    <t>Nehan Mohotty</t>
  </si>
  <si>
    <t>Senesh Karunarathne</t>
  </si>
  <si>
    <t>Jenal Ihalakodippili</t>
  </si>
  <si>
    <t>Thisara Jayasekara</t>
  </si>
  <si>
    <t>Minuk Perera</t>
  </si>
  <si>
    <t>Venuja Sandesh</t>
  </si>
  <si>
    <t>Sonal Senadheera</t>
  </si>
  <si>
    <t>Savindu Mallawarachchi</t>
  </si>
  <si>
    <t>Akesh Rathnayake</t>
  </si>
  <si>
    <t>Nadil Kotuwegoda</t>
  </si>
  <si>
    <t>Dilum Herath</t>
  </si>
  <si>
    <t>Rivi Galappaththi</t>
  </si>
  <si>
    <t>Mihishan Watagoda</t>
  </si>
  <si>
    <t>Kineth Siyambalagoda</t>
  </si>
  <si>
    <t>Yasindu Ubesinghe</t>
  </si>
  <si>
    <t>Malisha Premarathne</t>
  </si>
  <si>
    <t>Dilan Jayathunga</t>
  </si>
  <si>
    <t>0-40</t>
  </si>
  <si>
    <t>41-60</t>
  </si>
  <si>
    <t>61-80</t>
  </si>
  <si>
    <t>81-100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</si>
</sst>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6" fillId="10" borderId="0" applyNumberFormat="0" applyBorder="0" applyAlignment="0" applyProtection="0"/>
    <xf numFmtId="0" fontId="17" fillId="0" borderId="0"/>
  </cellStyleXfs>
  <cellXfs count="150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3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3" borderId="2" xfId="0" applyFont="1" applyFill="1" applyBorder="1" applyAlignment="1">
      <alignment horizontal="center" textRotation="90"/>
    </xf>
    <xf numFmtId="0" fontId="1" fillId="3" borderId="3" xfId="0" applyFont="1" applyFill="1" applyBorder="1" applyAlignment="1">
      <alignment horizontal="center" textRotation="90"/>
    </xf>
    <xf numFmtId="0" fontId="5" fillId="0" borderId="1" xfId="0" applyFont="1" applyBorder="1" applyAlignment="1" applyProtection="1">
      <alignment textRotation="90"/>
      <protection locked="0"/>
    </xf>
    <xf numFmtId="0" fontId="1" fillId="0" borderId="1" xfId="0" applyFont="1" applyBorder="1" applyAlignment="1" applyProtection="1">
      <alignment textRotation="90"/>
      <protection locked="0"/>
    </xf>
    <xf numFmtId="0" fontId="1" fillId="3" borderId="4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3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6" fillId="0" borderId="1" xfId="0" applyFont="1" applyBorder="1"/>
    <xf numFmtId="0" fontId="6" fillId="0" borderId="1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3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Protection="1">
      <protection locked="0"/>
    </xf>
    <xf numFmtId="0" fontId="7" fillId="0" borderId="1" xfId="0" applyFont="1" applyBorder="1"/>
    <xf numFmtId="0" fontId="6" fillId="4" borderId="1" xfId="0" applyFont="1" applyFill="1" applyBorder="1"/>
    <xf numFmtId="0" fontId="6" fillId="4" borderId="1" xfId="0" applyFont="1" applyFill="1" applyBorder="1" applyProtection="1">
      <protection locked="0"/>
    </xf>
    <xf numFmtId="0" fontId="7" fillId="4" borderId="1" xfId="0" applyFont="1" applyFill="1" applyBorder="1"/>
    <xf numFmtId="0" fontId="7" fillId="4" borderId="1" xfId="0" applyFont="1" applyFill="1" applyBorder="1" applyProtection="1">
      <protection locked="0"/>
    </xf>
    <xf numFmtId="0" fontId="5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9" fillId="0" borderId="0" xfId="0" applyFont="1" applyProtection="1">
      <protection locked="0"/>
    </xf>
    <xf numFmtId="0" fontId="9" fillId="0" borderId="0" xfId="0" applyFont="1" applyAlignment="1" applyProtection="1">
      <alignment textRotation="90"/>
      <protection locked="0"/>
    </xf>
    <xf numFmtId="0" fontId="10" fillId="0" borderId="0" xfId="0" applyFont="1" applyProtection="1">
      <protection locked="0"/>
    </xf>
    <xf numFmtId="0" fontId="11" fillId="0" borderId="0" xfId="1" applyFont="1" applyFill="1" applyProtection="1">
      <protection locked="0"/>
    </xf>
    <xf numFmtId="0" fontId="12" fillId="0" borderId="0" xfId="0" applyFont="1" applyProtection="1">
      <protection locked="0"/>
    </xf>
    <xf numFmtId="2" fontId="1" fillId="0" borderId="0" xfId="0" applyNumberFormat="1" applyFont="1" applyProtection="1">
      <protection locked="0"/>
    </xf>
    <xf numFmtId="0" fontId="10" fillId="3" borderId="2" xfId="0" applyFont="1" applyFill="1" applyBorder="1" applyAlignment="1">
      <alignment horizontal="center" textRotation="90"/>
    </xf>
    <xf numFmtId="0" fontId="10" fillId="3" borderId="3" xfId="0" applyFont="1" applyFill="1" applyBorder="1" applyAlignment="1">
      <alignment horizontal="center" textRotation="90"/>
    </xf>
    <xf numFmtId="0" fontId="13" fillId="0" borderId="1" xfId="0" applyFont="1" applyBorder="1" applyAlignment="1" applyProtection="1">
      <alignment textRotation="90"/>
      <protection locked="0"/>
    </xf>
    <xf numFmtId="0" fontId="10" fillId="0" borderId="1" xfId="0" applyFont="1" applyBorder="1" applyAlignment="1" applyProtection="1">
      <alignment textRotation="90"/>
      <protection locked="0"/>
    </xf>
    <xf numFmtId="0" fontId="10" fillId="3" borderId="4" xfId="0" applyFont="1" applyFill="1" applyBorder="1" applyAlignment="1">
      <alignment horizontal="center" textRotation="90"/>
    </xf>
    <xf numFmtId="0" fontId="13" fillId="2" borderId="1" xfId="0" applyFont="1" applyFill="1" applyBorder="1" applyAlignment="1">
      <alignment textRotation="90"/>
    </xf>
    <xf numFmtId="0" fontId="10" fillId="2" borderId="1" xfId="0" applyFont="1" applyFill="1" applyBorder="1" applyAlignment="1">
      <alignment textRotation="90"/>
    </xf>
    <xf numFmtId="0" fontId="10" fillId="3" borderId="1" xfId="0" applyFont="1" applyFill="1" applyBorder="1" applyProtection="1">
      <protection locked="0"/>
    </xf>
    <xf numFmtId="0" fontId="10" fillId="0" borderId="1" xfId="0" applyFont="1" applyBorder="1" applyProtection="1">
      <protection locked="0"/>
    </xf>
    <xf numFmtId="0" fontId="13" fillId="0" borderId="1" xfId="0" applyFont="1" applyBorder="1"/>
    <xf numFmtId="0" fontId="13" fillId="0" borderId="1" xfId="0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10" fillId="2" borderId="1" xfId="0" applyFont="1" applyFill="1" applyBorder="1" applyProtection="1"/>
    <xf numFmtId="2" fontId="10" fillId="2" borderId="1" xfId="0" applyNumberFormat="1" applyFont="1" applyFill="1" applyBorder="1" applyProtection="1"/>
    <xf numFmtId="0" fontId="10" fillId="3" borderId="1" xfId="0" applyFont="1" applyFill="1" applyBorder="1" applyProtection="1"/>
    <xf numFmtId="0" fontId="10" fillId="0" borderId="1" xfId="0" applyFont="1" applyBorder="1" applyProtection="1"/>
    <xf numFmtId="0" fontId="14" fillId="0" borderId="1" xfId="0" applyFont="1" applyBorder="1"/>
    <xf numFmtId="0" fontId="13" fillId="0" borderId="4" xfId="0" applyFont="1" applyBorder="1" applyProtection="1">
      <protection locked="0"/>
    </xf>
    <xf numFmtId="0" fontId="13" fillId="4" borderId="1" xfId="0" applyFont="1" applyFill="1" applyBorder="1"/>
    <xf numFmtId="0" fontId="10" fillId="0" borderId="1" xfId="1" applyFont="1" applyFill="1" applyBorder="1" applyProtection="1">
      <protection locked="0"/>
    </xf>
    <xf numFmtId="0" fontId="10" fillId="0" borderId="1" xfId="1" applyFont="1" applyFill="1" applyBorder="1"/>
    <xf numFmtId="0" fontId="14" fillId="4" borderId="1" xfId="0" applyFont="1" applyFill="1" applyBorder="1"/>
    <xf numFmtId="0" fontId="10" fillId="0" borderId="0" xfId="0" applyFont="1" applyBorder="1" applyProtection="1">
      <protection locked="0"/>
    </xf>
    <xf numFmtId="0" fontId="14" fillId="0" borderId="2" xfId="0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0" fillId="3" borderId="2" xfId="0" applyFont="1" applyFill="1" applyBorder="1" applyProtection="1"/>
    <xf numFmtId="0" fontId="10" fillId="0" borderId="2" xfId="0" applyFont="1" applyBorder="1" applyProtection="1"/>
    <xf numFmtId="0" fontId="10" fillId="0" borderId="0" xfId="0" applyFont="1" applyBorder="1" applyProtection="1">
      <protection locked="0"/>
    </xf>
    <xf numFmtId="0" fontId="10" fillId="3" borderId="5" xfId="0" applyFont="1" applyFill="1" applyBorder="1" applyProtection="1"/>
    <xf numFmtId="0" fontId="10" fillId="0" borderId="1" xfId="0" applyFont="1" applyBorder="1" applyAlignment="1" applyProtection="1">
      <protection locked="0"/>
    </xf>
    <xf numFmtId="0" fontId="10" fillId="0" borderId="0" xfId="0" applyFont="1" applyAlignment="1" applyProtection="1">
      <alignment textRotation="90"/>
      <protection locked="0"/>
    </xf>
    <xf numFmtId="2" fontId="10" fillId="0" borderId="0" xfId="0" applyNumberFormat="1" applyFont="1" applyProtection="1">
      <protection locked="0"/>
    </xf>
    <xf numFmtId="0" fontId="10" fillId="0" borderId="0" xfId="0" applyFont="1" applyProtection="1"/>
    <xf numFmtId="0" fontId="13" fillId="0" borderId="1" xfId="0" applyFont="1" applyBorder="1" applyAlignment="1" applyProtection="1">
      <alignment textRotation="90"/>
    </xf>
    <xf numFmtId="0" fontId="10" fillId="0" borderId="1" xfId="0" applyFont="1" applyBorder="1" applyAlignment="1" applyProtection="1">
      <alignment textRotation="90"/>
    </xf>
    <xf numFmtId="0" fontId="10" fillId="0" borderId="1" xfId="0" applyFont="1" applyBorder="1" applyAlignment="1" applyProtection="1">
      <alignment horizontal="left" vertical="top" textRotation="90"/>
    </xf>
    <xf numFmtId="0" fontId="10" fillId="0" borderId="0" xfId="0" applyFont="1" applyAlignment="1" applyProtection="1">
      <alignment textRotation="90"/>
    </xf>
    <xf numFmtId="0" fontId="10" fillId="5" borderId="1" xfId="0" applyFont="1" applyFill="1" applyBorder="1" applyProtection="1"/>
    <xf numFmtId="0" fontId="10" fillId="0" borderId="4" xfId="0" applyFont="1" applyBorder="1" applyProtection="1"/>
    <xf numFmtId="0" fontId="10" fillId="6" borderId="1" xfId="0" applyFont="1" applyFill="1" applyBorder="1" applyProtection="1"/>
    <xf numFmtId="0" fontId="10" fillId="7" borderId="1" xfId="0" applyFont="1" applyFill="1" applyBorder="1" applyProtection="1"/>
    <xf numFmtId="0" fontId="15" fillId="0" borderId="0" xfId="0" applyFont="1" applyProtection="1">
      <protection locked="0"/>
    </xf>
    <xf numFmtId="0" fontId="10" fillId="8" borderId="1" xfId="0" applyFont="1" applyFill="1" applyBorder="1" applyProtection="1"/>
    <xf numFmtId="0" fontId="10" fillId="9" borderId="1" xfId="0" applyFont="1" applyFill="1" applyBorder="1" applyProtection="1"/>
    <xf numFmtId="0" fontId="10" fillId="9" borderId="0" xfId="0" applyFont="1" applyFill="1" applyBorder="1" applyProtection="1"/>
    <xf numFmtId="0" fontId="10" fillId="5" borderId="6" xfId="0" applyFont="1" applyFill="1" applyBorder="1" applyAlignment="1" applyProtection="1"/>
    <xf numFmtId="0" fontId="10" fillId="5" borderId="7" xfId="0" applyFont="1" applyFill="1" applyBorder="1" applyAlignment="1" applyProtection="1"/>
    <xf numFmtId="0" fontId="15" fillId="0" borderId="0" xfId="0" applyFont="1" applyProtection="1"/>
    <xf numFmtId="0" fontId="15" fillId="0" borderId="0" xfId="0" applyFont="1" applyAlignment="1" applyProtection="1">
      <alignment textRotation="90"/>
    </xf>
    <xf numFmtId="0" fontId="3" fillId="0" borderId="0" xfId="0" applyFont="1" applyAlignment="1" applyProtection="1">
      <alignment textRotation="90"/>
      <protection locked="0"/>
    </xf>
    <xf numFmtId="0" fontId="3" fillId="0" borderId="0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0" fillId="5" borderId="6" xfId="0" applyFont="1" applyFill="1" applyBorder="1" applyAlignment="1" applyProtection="1">
      <alignment horizontal="center"/>
    </xf>
    <xf numFmtId="0" fontId="10" fillId="5" borderId="7" xfId="0" applyFont="1" applyFill="1" applyBorder="1" applyAlignment="1" applyProtection="1">
      <alignment horizontal="center"/>
    </xf>
    <xf numFmtId="0" fontId="10" fillId="5" borderId="5" xfId="0" applyFont="1" applyFill="1" applyBorder="1" applyAlignment="1" applyProtection="1">
      <alignment horizontal="center"/>
    </xf>
    <xf numFmtId="0" fontId="10" fillId="6" borderId="6" xfId="0" applyFont="1" applyFill="1" applyBorder="1" applyAlignment="1" applyProtection="1">
      <alignment horizontal="center"/>
    </xf>
    <xf numFmtId="0" fontId="10" fillId="6" borderId="7" xfId="0" applyFont="1" applyFill="1" applyBorder="1" applyAlignment="1" applyProtection="1">
      <alignment horizontal="center"/>
    </xf>
    <xf numFmtId="0" fontId="10" fillId="6" borderId="5" xfId="0" applyFont="1" applyFill="1" applyBorder="1" applyAlignment="1" applyProtection="1">
      <alignment horizontal="center"/>
    </xf>
    <xf numFmtId="0" fontId="10" fillId="7" borderId="6" xfId="0" applyFont="1" applyFill="1" applyBorder="1" applyAlignment="1" applyProtection="1">
      <alignment horizontal="center"/>
    </xf>
    <xf numFmtId="0" fontId="10" fillId="7" borderId="7" xfId="0" applyFont="1" applyFill="1" applyBorder="1" applyAlignment="1" applyProtection="1">
      <alignment horizontal="center"/>
    </xf>
    <xf numFmtId="0" fontId="10" fillId="7" borderId="5" xfId="0" applyFont="1" applyFill="1" applyBorder="1" applyAlignment="1" applyProtection="1">
      <alignment horizontal="center"/>
    </xf>
    <xf numFmtId="0" fontId="10" fillId="8" borderId="6" xfId="0" applyFont="1" applyFill="1" applyBorder="1" applyAlignment="1" applyProtection="1">
      <alignment horizontal="center"/>
    </xf>
    <xf numFmtId="0" fontId="10" fillId="8" borderId="7" xfId="0" applyFont="1" applyFill="1" applyBorder="1" applyAlignment="1" applyProtection="1">
      <alignment horizontal="center"/>
    </xf>
    <xf numFmtId="0" fontId="10" fillId="8" borderId="5" xfId="0" applyFont="1" applyFill="1" applyBorder="1" applyAlignment="1" applyProtection="1">
      <alignment horizontal="center"/>
    </xf>
    <xf numFmtId="0" fontId="10" fillId="9" borderId="6" xfId="0" applyFont="1" applyFill="1" applyBorder="1" applyAlignment="1" applyProtection="1">
      <alignment horizontal="center"/>
    </xf>
    <xf numFmtId="0" fontId="10" fillId="9" borderId="7" xfId="0" applyFont="1" applyFill="1" applyBorder="1" applyAlignment="1" applyProtection="1">
      <alignment horizontal="center"/>
    </xf>
    <xf numFmtId="0" fontId="10" fillId="9" borderId="5" xfId="0" applyFont="1" applyFill="1" applyBorder="1" applyAlignment="1" applyProtection="1">
      <alignment horizontal="center"/>
    </xf>
    <xf numFmtId="0" fontId="10" fillId="9" borderId="0" xfId="0" applyFont="1" applyFill="1" applyAlignment="1" applyProtection="1">
      <alignment horizontal="center"/>
    </xf>
    <xf numFmtId="0" fontId="10" fillId="0" borderId="6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textRotation="90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textRotation="90"/>
      <protection locked="0"/>
    </xf>
    <xf numFmtId="0" fontId="10" fillId="0" borderId="1" xfId="0" applyFont="1" applyBorder="1" applyAlignment="1" applyProtection="1">
      <alignment horizontal="center" textRotation="90"/>
    </xf>
    <xf numFmtId="0" fontId="10" fillId="2" borderId="2" xfId="0" applyFont="1" applyFill="1" applyBorder="1" applyAlignment="1">
      <alignment horizontal="center" textRotation="90"/>
    </xf>
    <xf numFmtId="0" fontId="10" fillId="2" borderId="3" xfId="0" applyFont="1" applyFill="1" applyBorder="1" applyAlignment="1">
      <alignment horizontal="center" textRotation="90"/>
    </xf>
    <xf numFmtId="0" fontId="10" fillId="2" borderId="4" xfId="0" applyFont="1" applyFill="1" applyBorder="1" applyAlignment="1">
      <alignment horizontal="center" textRotation="90"/>
    </xf>
    <xf numFmtId="2" fontId="10" fillId="2" borderId="2" xfId="0" applyNumberFormat="1" applyFont="1" applyFill="1" applyBorder="1" applyAlignment="1">
      <alignment horizontal="center" textRotation="90"/>
    </xf>
    <xf numFmtId="2" fontId="10" fillId="2" borderId="3" xfId="0" applyNumberFormat="1" applyFont="1" applyFill="1" applyBorder="1" applyAlignment="1">
      <alignment horizontal="center" textRotation="90"/>
    </xf>
    <xf numFmtId="2" fontId="10" fillId="2" borderId="4" xfId="0" applyNumberFormat="1" applyFont="1" applyFill="1" applyBorder="1" applyAlignment="1">
      <alignment horizontal="center" textRotation="90"/>
    </xf>
    <xf numFmtId="0" fontId="10" fillId="2" borderId="1" xfId="0" applyFont="1" applyFill="1" applyBorder="1" applyAlignment="1">
      <alignment horizontal="center" textRotation="90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textRotation="90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textRotation="90"/>
      <protection locked="0"/>
    </xf>
    <xf numFmtId="0" fontId="1" fillId="2" borderId="2" xfId="0" applyFont="1" applyFill="1" applyBorder="1" applyAlignment="1">
      <alignment horizontal="center" textRotation="90"/>
    </xf>
    <xf numFmtId="0" fontId="1" fillId="2" borderId="3" xfId="0" applyFont="1" applyFill="1" applyBorder="1" applyAlignment="1">
      <alignment horizontal="center" textRotation="90"/>
    </xf>
    <xf numFmtId="0" fontId="1" fillId="2" borderId="4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</cellXfs>
  <cellStyles count="3">
    <cellStyle name="Bad" xfId="1" builtinId="27"/>
    <cellStyle name="Normal" xfId="0" builtinId="0"/>
    <cellStyle name="Normal 2 2" xfId="2"/>
  </cellStyles>
  <dxfs count="6"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0</xdr:rowOff>
    </xdr:from>
    <xdr:to>
      <xdr:col>12</xdr:col>
      <xdr:colOff>88108</xdr:colOff>
      <xdr:row>2</xdr:row>
      <xdr:rowOff>130175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925" y="0"/>
          <a:ext cx="525780" cy="709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0</xdr:row>
      <xdr:rowOff>0</xdr:rowOff>
    </xdr:from>
    <xdr:to>
      <xdr:col>14</xdr:col>
      <xdr:colOff>59055</xdr:colOff>
      <xdr:row>3</xdr:row>
      <xdr:rowOff>149225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300" y="0"/>
          <a:ext cx="563880" cy="96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3"/>
  <sheetViews>
    <sheetView tabSelected="1" workbookViewId="0">
      <selection activeCell="AI56" sqref="AI56"/>
    </sheetView>
  </sheetViews>
  <sheetFormatPr defaultColWidth="9.140625" defaultRowHeight="18.75"/>
  <cols>
    <col min="1" max="1" width="2.7109375" style="3" customWidth="1"/>
    <col min="2" max="2" width="3.7109375" style="3" customWidth="1"/>
    <col min="3" max="3" width="4" style="3" customWidth="1"/>
    <col min="4" max="4" width="25.28515625" style="3" customWidth="1"/>
    <col min="5" max="11" width="3.85546875" style="3" customWidth="1"/>
    <col min="12" max="17" width="3.42578125" style="4" customWidth="1"/>
    <col min="18" max="21" width="3.42578125" style="3" customWidth="1"/>
    <col min="22" max="22" width="3.7109375" style="3" customWidth="1"/>
    <col min="23" max="23" width="5.7109375" style="3" customWidth="1"/>
    <col min="24" max="24" width="6.140625" style="44" customWidth="1"/>
    <col min="25" max="25" width="3.7109375" style="3" customWidth="1"/>
    <col min="26" max="26" width="2.28515625" style="3" customWidth="1"/>
    <col min="27" max="30" width="3.140625" style="3" customWidth="1"/>
    <col min="31" max="31" width="3.7109375" style="3" customWidth="1"/>
    <col min="32" max="33" width="4" style="3" customWidth="1"/>
    <col min="34" max="44" width="3.7109375" style="3" customWidth="1"/>
    <col min="45" max="48" width="4" style="3" customWidth="1"/>
    <col min="49" max="49" width="3.28515625" style="3" customWidth="1"/>
    <col min="50" max="16384" width="9.140625" style="3"/>
  </cols>
  <sheetData>
    <row r="1" spans="2:50" ht="6.6" customHeight="1"/>
    <row r="2" spans="2:50" s="1" customFormat="1" ht="39" customHeight="1">
      <c r="B2" s="97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</row>
    <row r="3" spans="2:50">
      <c r="B3" s="98" t="s">
        <v>1</v>
      </c>
      <c r="C3" s="98"/>
      <c r="E3" s="3" t="s">
        <v>2</v>
      </c>
    </row>
    <row r="4" spans="2:50">
      <c r="B4" s="98" t="s">
        <v>3</v>
      </c>
      <c r="C4" s="98"/>
      <c r="D4" s="98"/>
      <c r="E4" s="3" t="s">
        <v>4</v>
      </c>
    </row>
    <row r="5" spans="2:50" ht="9.6" customHeight="1">
      <c r="B5" s="6"/>
      <c r="C5" s="6"/>
    </row>
    <row r="6" spans="2:50" s="41" customFormat="1" ht="18" customHeight="1">
      <c r="B6" s="125" t="s">
        <v>5</v>
      </c>
      <c r="C6" s="125" t="s">
        <v>6</v>
      </c>
      <c r="D6" s="126" t="s">
        <v>7</v>
      </c>
      <c r="E6" s="99" t="s">
        <v>8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29" t="s">
        <v>9</v>
      </c>
      <c r="X6" s="132" t="s">
        <v>10</v>
      </c>
      <c r="Y6" s="129" t="s">
        <v>11</v>
      </c>
      <c r="Z6" s="45"/>
      <c r="AA6" s="100" t="s">
        <v>12</v>
      </c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</row>
    <row r="7" spans="2:50" s="41" customFormat="1" ht="39.6" customHeight="1">
      <c r="B7" s="125"/>
      <c r="C7" s="125"/>
      <c r="D7" s="126"/>
      <c r="E7" s="127" t="s">
        <v>13</v>
      </c>
      <c r="F7" s="127" t="s">
        <v>14</v>
      </c>
      <c r="G7" s="127" t="s">
        <v>15</v>
      </c>
      <c r="H7" s="127" t="s">
        <v>16</v>
      </c>
      <c r="I7" s="127" t="s">
        <v>17</v>
      </c>
      <c r="J7" s="127" t="s">
        <v>18</v>
      </c>
      <c r="K7" s="127" t="s">
        <v>19</v>
      </c>
      <c r="L7" s="101" t="s">
        <v>20</v>
      </c>
      <c r="M7" s="101"/>
      <c r="N7" s="101"/>
      <c r="O7" s="101"/>
      <c r="P7" s="101"/>
      <c r="Q7" s="101"/>
      <c r="R7" s="101" t="s">
        <v>21</v>
      </c>
      <c r="S7" s="101"/>
      <c r="T7" s="101"/>
      <c r="U7" s="101"/>
      <c r="V7" s="101"/>
      <c r="W7" s="130"/>
      <c r="X7" s="133"/>
      <c r="Y7" s="130"/>
      <c r="Z7" s="46"/>
      <c r="AA7" s="135" t="s">
        <v>13</v>
      </c>
      <c r="AB7" s="135" t="s">
        <v>14</v>
      </c>
      <c r="AC7" s="135" t="s">
        <v>15</v>
      </c>
      <c r="AD7" s="135" t="s">
        <v>16</v>
      </c>
      <c r="AE7" s="135" t="s">
        <v>17</v>
      </c>
      <c r="AF7" s="135" t="s">
        <v>18</v>
      </c>
      <c r="AG7" s="135" t="s">
        <v>19</v>
      </c>
      <c r="AH7" s="102" t="s">
        <v>20</v>
      </c>
      <c r="AI7" s="102"/>
      <c r="AJ7" s="102"/>
      <c r="AK7" s="102"/>
      <c r="AL7" s="102"/>
      <c r="AM7" s="102"/>
      <c r="AN7" s="102" t="s">
        <v>21</v>
      </c>
      <c r="AO7" s="102"/>
      <c r="AP7" s="102"/>
      <c r="AQ7" s="102"/>
      <c r="AR7" s="102"/>
      <c r="AS7" s="103" t="s">
        <v>22</v>
      </c>
      <c r="AT7" s="103"/>
      <c r="AU7" s="103"/>
      <c r="AV7" s="103"/>
      <c r="AW7" s="103"/>
    </row>
    <row r="8" spans="2:50" s="41" customFormat="1" ht="53.1" customHeight="1">
      <c r="B8" s="125"/>
      <c r="C8" s="125"/>
      <c r="D8" s="126"/>
      <c r="E8" s="127"/>
      <c r="F8" s="127"/>
      <c r="G8" s="127"/>
      <c r="H8" s="127"/>
      <c r="I8" s="127"/>
      <c r="J8" s="127"/>
      <c r="K8" s="127"/>
      <c r="L8" s="47" t="s">
        <v>23</v>
      </c>
      <c r="M8" s="47" t="s">
        <v>24</v>
      </c>
      <c r="N8" s="48" t="s">
        <v>25</v>
      </c>
      <c r="O8" s="48" t="s">
        <v>26</v>
      </c>
      <c r="P8" s="48" t="s">
        <v>27</v>
      </c>
      <c r="Q8" s="48" t="s">
        <v>28</v>
      </c>
      <c r="R8" s="48" t="s">
        <v>29</v>
      </c>
      <c r="S8" s="48" t="s">
        <v>30</v>
      </c>
      <c r="T8" s="48" t="s">
        <v>31</v>
      </c>
      <c r="U8" s="48" t="s">
        <v>32</v>
      </c>
      <c r="V8" s="48" t="s">
        <v>33</v>
      </c>
      <c r="W8" s="131"/>
      <c r="X8" s="134"/>
      <c r="Y8" s="131"/>
      <c r="Z8" s="49"/>
      <c r="AA8" s="135"/>
      <c r="AB8" s="135"/>
      <c r="AC8" s="135"/>
      <c r="AD8" s="135"/>
      <c r="AE8" s="135"/>
      <c r="AF8" s="135"/>
      <c r="AG8" s="135"/>
      <c r="AH8" s="50" t="s">
        <v>23</v>
      </c>
      <c r="AI8" s="50" t="s">
        <v>24</v>
      </c>
      <c r="AJ8" s="51" t="s">
        <v>25</v>
      </c>
      <c r="AK8" s="51" t="s">
        <v>26</v>
      </c>
      <c r="AL8" s="51" t="s">
        <v>27</v>
      </c>
      <c r="AM8" s="51" t="s">
        <v>28</v>
      </c>
      <c r="AN8" s="51" t="s">
        <v>29</v>
      </c>
      <c r="AO8" s="51" t="s">
        <v>30</v>
      </c>
      <c r="AP8" s="51" t="s">
        <v>31</v>
      </c>
      <c r="AQ8" s="51" t="s">
        <v>32</v>
      </c>
      <c r="AR8" s="51" t="s">
        <v>33</v>
      </c>
      <c r="AS8" s="52" t="s">
        <v>34</v>
      </c>
      <c r="AT8" s="52" t="s">
        <v>35</v>
      </c>
      <c r="AU8" s="52" t="s">
        <v>36</v>
      </c>
      <c r="AV8" s="52" t="s">
        <v>37</v>
      </c>
      <c r="AW8" s="52" t="s">
        <v>38</v>
      </c>
      <c r="AX8" s="41" t="s">
        <v>39</v>
      </c>
    </row>
    <row r="9" spans="2:50" s="41" customFormat="1" ht="12" customHeight="1">
      <c r="B9" s="53">
        <v>1</v>
      </c>
      <c r="C9" s="54"/>
      <c r="D9" s="55" t="s">
        <v>40</v>
      </c>
      <c r="E9" s="56">
        <v>87</v>
      </c>
      <c r="F9" s="56">
        <v>87</v>
      </c>
      <c r="G9" s="56">
        <v>80</v>
      </c>
      <c r="H9" s="56">
        <v>81</v>
      </c>
      <c r="I9" s="56">
        <v>82</v>
      </c>
      <c r="J9" s="56">
        <v>73</v>
      </c>
      <c r="K9" s="56">
        <v>88</v>
      </c>
      <c r="L9" s="55"/>
      <c r="M9" s="55"/>
      <c r="N9" s="55"/>
      <c r="O9" s="55"/>
      <c r="P9" s="55"/>
      <c r="Q9" s="55">
        <v>78</v>
      </c>
      <c r="R9" s="55"/>
      <c r="S9" s="55"/>
      <c r="T9" s="55"/>
      <c r="U9" s="55"/>
      <c r="V9" s="55">
        <v>64</v>
      </c>
      <c r="W9" s="57">
        <f t="shared" ref="W9:W41" si="0">SUM(E9:V9)</f>
        <v>720</v>
      </c>
      <c r="X9" s="58">
        <f>W9/9</f>
        <v>80</v>
      </c>
      <c r="Y9" s="57">
        <f t="shared" ref="Y9:Y41" si="1">RANK(X9,X$9:X$44)</f>
        <v>6</v>
      </c>
      <c r="Z9" s="59"/>
      <c r="AA9" s="60" t="str">
        <f t="shared" ref="AA9:AA41" si="2">IF(E9="AB","AB",IF(E9&gt;=75,"A",IF(E9&gt;=65,"B",IF(E9&gt;=55,"C",IF(E9&gt;=35,"S","F")))))</f>
        <v>A</v>
      </c>
      <c r="AB9" s="60" t="str">
        <f t="shared" ref="AB9:AB41" si="3">IF(F9="AB","AB",IF(F9&gt;=75,"A",IF(F9&gt;=65,"B",IF(F9&gt;=55,"C",IF(F9&gt;=35,"S","F")))))</f>
        <v>A</v>
      </c>
      <c r="AC9" s="60" t="str">
        <f t="shared" ref="AC9:AC41" si="4">IF(G9="AB","AB",IF(G9&gt;=75,"A",IF(G9&gt;=65,"B",IF(G9&gt;=55,"C",IF(G9&gt;=35,"S","F")))))</f>
        <v>A</v>
      </c>
      <c r="AD9" s="60" t="str">
        <f t="shared" ref="AD9:AD41" si="5">IF(H9="AB","AB",IF(H9&gt;=75,"A",IF(H9&gt;=65,"B",IF(H9&gt;=55,"C",IF(H9&gt;=35,"S","F")))))</f>
        <v>A</v>
      </c>
      <c r="AE9" s="60" t="str">
        <f t="shared" ref="AE9:AE41" si="6">IF(I9="AB","AB",IF(I9&gt;=75,"A",IF(I9&gt;=65,"B",IF(I9&gt;=55,"C",IF(I9&gt;=35,"S","F")))))</f>
        <v>A</v>
      </c>
      <c r="AF9" s="60" t="str">
        <f t="shared" ref="AF9:AF41" si="7">IF(J9="AB","AB",IF(J9&gt;=75,"A",IF(J9&gt;=65,"B",IF(J9&gt;=55,"C",IF(J9&gt;=35,"S","F")))))</f>
        <v>B</v>
      </c>
      <c r="AG9" s="60" t="str">
        <f t="shared" ref="AG9:AG41" si="8">IF(K9="AB","AB",IF(K9&gt;=75,"A",IF(K9&gt;=65,"B",IF(K9&gt;=55,"C",IF(K9&gt;=35,"S","F")))))</f>
        <v>A</v>
      </c>
      <c r="AH9" s="60" t="str">
        <f t="shared" ref="AH9:AR10" si="9">IF(L9="","-",IF(L9="AB","AB",IF(L9&gt;=75,"A",IF(L9&gt;=65,"B",IF(L9&gt;=55,"C",IF(L9&gt;=35,"S","F"))))))</f>
        <v>-</v>
      </c>
      <c r="AI9" s="60" t="str">
        <f t="shared" si="9"/>
        <v>-</v>
      </c>
      <c r="AJ9" s="60" t="str">
        <f t="shared" si="9"/>
        <v>-</v>
      </c>
      <c r="AK9" s="60" t="str">
        <f t="shared" si="9"/>
        <v>-</v>
      </c>
      <c r="AL9" s="60" t="str">
        <f t="shared" si="9"/>
        <v>-</v>
      </c>
      <c r="AM9" s="60" t="str">
        <f t="shared" si="9"/>
        <v>A</v>
      </c>
      <c r="AN9" s="60" t="str">
        <f t="shared" si="9"/>
        <v>-</v>
      </c>
      <c r="AO9" s="60" t="str">
        <f t="shared" si="9"/>
        <v>-</v>
      </c>
      <c r="AP9" s="60" t="str">
        <f t="shared" si="9"/>
        <v>-</v>
      </c>
      <c r="AQ9" s="60" t="str">
        <f t="shared" si="9"/>
        <v>-</v>
      </c>
      <c r="AR9" s="60" t="str">
        <f t="shared" si="9"/>
        <v>C</v>
      </c>
      <c r="AS9" s="59">
        <f t="shared" ref="AS9:AS41" si="10">COUNTIF(AA9:AR9,"A")</f>
        <v>7</v>
      </c>
      <c r="AT9" s="59">
        <f t="shared" ref="AT9:AT41" si="11">COUNTIF(AA9:AR9,"b")</f>
        <v>1</v>
      </c>
      <c r="AU9" s="59">
        <f t="shared" ref="AU9:AU41" si="12">COUNTIF(AA9:AR9,"C")</f>
        <v>1</v>
      </c>
      <c r="AV9" s="59">
        <f t="shared" ref="AV9:AV41" si="13">COUNTIF(AA9:AR9,"S")</f>
        <v>0</v>
      </c>
      <c r="AW9" s="59">
        <f t="shared" ref="AW9:AW41" si="14">COUNTIF(AA9:AR9,"F")</f>
        <v>0</v>
      </c>
    </row>
    <row r="10" spans="2:50" s="41" customFormat="1" ht="12" customHeight="1">
      <c r="B10" s="53">
        <v>2</v>
      </c>
      <c r="C10" s="61"/>
      <c r="D10" s="62" t="s">
        <v>41</v>
      </c>
      <c r="E10" s="56">
        <v>77</v>
      </c>
      <c r="F10" s="56">
        <v>82</v>
      </c>
      <c r="G10" s="56">
        <v>74</v>
      </c>
      <c r="H10" s="56">
        <v>82</v>
      </c>
      <c r="I10" s="56">
        <v>81</v>
      </c>
      <c r="J10" s="56">
        <v>69</v>
      </c>
      <c r="K10" s="56">
        <v>80</v>
      </c>
      <c r="L10" s="56"/>
      <c r="M10" s="55"/>
      <c r="N10" s="55"/>
      <c r="O10" s="55"/>
      <c r="P10" s="55"/>
      <c r="Q10" s="55">
        <v>75</v>
      </c>
      <c r="R10" s="55"/>
      <c r="S10" s="55">
        <v>90</v>
      </c>
      <c r="T10" s="55"/>
      <c r="U10" s="55"/>
      <c r="V10" s="55"/>
      <c r="W10" s="57">
        <f t="shared" si="0"/>
        <v>710</v>
      </c>
      <c r="X10" s="58">
        <f t="shared" ref="X10:X41" si="15">W10/9</f>
        <v>78.8888888888889</v>
      </c>
      <c r="Y10" s="57">
        <f t="shared" si="1"/>
        <v>8</v>
      </c>
      <c r="Z10" s="59"/>
      <c r="AA10" s="60" t="str">
        <f t="shared" si="2"/>
        <v>A</v>
      </c>
      <c r="AB10" s="60" t="str">
        <f t="shared" si="3"/>
        <v>A</v>
      </c>
      <c r="AC10" s="60" t="str">
        <f t="shared" si="4"/>
        <v>B</v>
      </c>
      <c r="AD10" s="60" t="str">
        <f t="shared" si="5"/>
        <v>A</v>
      </c>
      <c r="AE10" s="60" t="str">
        <f t="shared" si="6"/>
        <v>A</v>
      </c>
      <c r="AF10" s="60" t="str">
        <f t="shared" si="7"/>
        <v>B</v>
      </c>
      <c r="AG10" s="60" t="str">
        <f t="shared" si="8"/>
        <v>A</v>
      </c>
      <c r="AH10" s="60" t="str">
        <f t="shared" si="9"/>
        <v>-</v>
      </c>
      <c r="AI10" s="60" t="str">
        <f t="shared" si="9"/>
        <v>-</v>
      </c>
      <c r="AJ10" s="60" t="str">
        <f t="shared" si="9"/>
        <v>-</v>
      </c>
      <c r="AK10" s="60" t="str">
        <f t="shared" si="9"/>
        <v>-</v>
      </c>
      <c r="AL10" s="60" t="str">
        <f t="shared" si="9"/>
        <v>-</v>
      </c>
      <c r="AM10" s="60" t="str">
        <f t="shared" si="9"/>
        <v>A</v>
      </c>
      <c r="AN10" s="60" t="str">
        <f t="shared" si="9"/>
        <v>-</v>
      </c>
      <c r="AO10" s="60" t="str">
        <f t="shared" si="9"/>
        <v>A</v>
      </c>
      <c r="AP10" s="60" t="str">
        <f t="shared" si="9"/>
        <v>-</v>
      </c>
      <c r="AQ10" s="60" t="str">
        <f t="shared" si="9"/>
        <v>-</v>
      </c>
      <c r="AR10" s="60" t="str">
        <f t="shared" si="9"/>
        <v>-</v>
      </c>
      <c r="AS10" s="59">
        <f t="shared" si="10"/>
        <v>7</v>
      </c>
      <c r="AT10" s="59">
        <f t="shared" si="11"/>
        <v>2</v>
      </c>
      <c r="AU10" s="59">
        <f t="shared" si="12"/>
        <v>0</v>
      </c>
      <c r="AV10" s="59">
        <f t="shared" si="13"/>
        <v>0</v>
      </c>
      <c r="AW10" s="59">
        <f t="shared" si="14"/>
        <v>0</v>
      </c>
    </row>
    <row r="11" spans="2:50" s="41" customFormat="1" ht="12" customHeight="1">
      <c r="B11" s="53">
        <v>3</v>
      </c>
      <c r="C11" s="54"/>
      <c r="D11" s="55" t="s">
        <v>42</v>
      </c>
      <c r="E11" s="56">
        <v>58</v>
      </c>
      <c r="F11" s="56">
        <v>83</v>
      </c>
      <c r="G11" s="56">
        <v>87</v>
      </c>
      <c r="H11" s="56">
        <v>81</v>
      </c>
      <c r="I11" s="56">
        <v>79</v>
      </c>
      <c r="J11" s="56">
        <v>73</v>
      </c>
      <c r="K11" s="56">
        <v>82</v>
      </c>
      <c r="L11" s="55">
        <v>76</v>
      </c>
      <c r="M11" s="55"/>
      <c r="N11" s="55"/>
      <c r="O11" s="55"/>
      <c r="P11" s="55"/>
      <c r="Q11" s="55"/>
      <c r="R11" s="55"/>
      <c r="S11" s="55"/>
      <c r="T11" s="55"/>
      <c r="U11" s="55">
        <v>85</v>
      </c>
      <c r="V11" s="55"/>
      <c r="W11" s="57">
        <f t="shared" si="0"/>
        <v>704</v>
      </c>
      <c r="X11" s="58">
        <f t="shared" si="15"/>
        <v>78.2222222222222</v>
      </c>
      <c r="Y11" s="57">
        <f t="shared" si="1"/>
        <v>13</v>
      </c>
      <c r="Z11" s="59"/>
      <c r="AA11" s="60" t="str">
        <f t="shared" si="2"/>
        <v>C</v>
      </c>
      <c r="AB11" s="60" t="str">
        <f t="shared" si="3"/>
        <v>A</v>
      </c>
      <c r="AC11" s="60" t="str">
        <f t="shared" si="4"/>
        <v>A</v>
      </c>
      <c r="AD11" s="60" t="str">
        <f t="shared" si="5"/>
        <v>A</v>
      </c>
      <c r="AE11" s="60" t="str">
        <f t="shared" si="6"/>
        <v>A</v>
      </c>
      <c r="AF11" s="60" t="str">
        <f t="shared" si="7"/>
        <v>B</v>
      </c>
      <c r="AG11" s="60" t="str">
        <f t="shared" si="8"/>
        <v>A</v>
      </c>
      <c r="AH11" s="60" t="str">
        <f t="shared" ref="AH11:AH41" si="16">IF(L11="","-",IF(L11="AB","AB",IF(L11&gt;=75,"A",IF(L11&gt;=65,"B",IF(L11&gt;=55,"C",IF(L11&gt;=35,"S","F"))))))</f>
        <v>A</v>
      </c>
      <c r="AI11" s="60" t="str">
        <f t="shared" ref="AI11:AI41" si="17">IF(M11="","-",IF(M11="AB","AB",IF(M11&gt;=75,"A",IF(M11&gt;=65,"B",IF(M11&gt;=55,"C",IF(M11&gt;=35,"S","F"))))))</f>
        <v>-</v>
      </c>
      <c r="AJ11" s="60" t="str">
        <f t="shared" ref="AJ11:AJ41" si="18">IF(N11="","-",IF(N11="AB","AB",IF(N11&gt;=75,"A",IF(N11&gt;=65,"B",IF(N11&gt;=55,"C",IF(N11&gt;=35,"S","F"))))))</f>
        <v>-</v>
      </c>
      <c r="AK11" s="60" t="str">
        <f t="shared" ref="AK11:AK41" si="19">IF(O11="","-",IF(O11="AB","AB",IF(O11&gt;=75,"A",IF(O11&gt;=65,"B",IF(O11&gt;=55,"C",IF(O11&gt;=35,"S","F"))))))</f>
        <v>-</v>
      </c>
      <c r="AL11" s="60">
        <v>0</v>
      </c>
      <c r="AM11" s="60" t="str">
        <f t="shared" ref="AM11:AM41" si="20">IF(Q11="","-",IF(Q11="AB","AB",IF(Q11&gt;=75,"A",IF(Q11&gt;=65,"B",IF(Q11&gt;=55,"C",IF(Q11&gt;=35,"S","F"))))))</f>
        <v>-</v>
      </c>
      <c r="AN11" s="60" t="str">
        <f t="shared" ref="AN11:AN41" si="21">IF(R11="","-",IF(R11="AB","AB",IF(R11&gt;=75,"A",IF(R11&gt;=65,"B",IF(R11&gt;=55,"C",IF(R11&gt;=35,"S","F"))))))</f>
        <v>-</v>
      </c>
      <c r="AO11" s="60" t="str">
        <f t="shared" ref="AO11:AO41" si="22">IF(S11="","-",IF(S11="AB","AB",IF(S11&gt;=75,"A",IF(S11&gt;=65,"B",IF(S11&gt;=55,"C",IF(S11&gt;=35,"S","F"))))))</f>
        <v>-</v>
      </c>
      <c r="AP11" s="60" t="str">
        <f t="shared" ref="AP11:AP41" si="23">IF(T11="","-",IF(T11="AB","AB",IF(T11&gt;=75,"A",IF(T11&gt;=65,"B",IF(T11&gt;=55,"C",IF(T11&gt;=35,"S","F"))))))</f>
        <v>-</v>
      </c>
      <c r="AQ11" s="60" t="str">
        <f t="shared" ref="AQ11:AQ41" si="24">IF(U11="","-",IF(U11="AB","AB",IF(U11&gt;=75,"A",IF(U11&gt;=65,"B",IF(U11&gt;=55,"C",IF(U11&gt;=35,"S","F"))))))</f>
        <v>A</v>
      </c>
      <c r="AR11" s="60" t="str">
        <f t="shared" ref="AR11:AR41" si="25">IF(V11="","-",IF(V11="AB","AB",IF(V11&gt;=75,"A",IF(V11&gt;=65,"B",IF(V11&gt;=55,"C",IF(V11&gt;=35,"S","F"))))))</f>
        <v>-</v>
      </c>
      <c r="AS11" s="59">
        <f t="shared" si="10"/>
        <v>7</v>
      </c>
      <c r="AT11" s="59">
        <f t="shared" si="11"/>
        <v>1</v>
      </c>
      <c r="AU11" s="59">
        <f t="shared" si="12"/>
        <v>1</v>
      </c>
      <c r="AV11" s="59">
        <f t="shared" si="13"/>
        <v>0</v>
      </c>
      <c r="AW11" s="59">
        <f t="shared" si="14"/>
        <v>0</v>
      </c>
    </row>
    <row r="12" spans="2:50" s="41" customFormat="1" ht="12" customHeight="1">
      <c r="B12" s="53">
        <v>4</v>
      </c>
      <c r="C12" s="54"/>
      <c r="D12" s="55" t="s">
        <v>43</v>
      </c>
      <c r="E12" s="56">
        <v>65</v>
      </c>
      <c r="F12" s="56">
        <v>85</v>
      </c>
      <c r="G12" s="56">
        <v>87</v>
      </c>
      <c r="H12" s="56">
        <v>88</v>
      </c>
      <c r="I12" s="56">
        <v>87</v>
      </c>
      <c r="J12" s="56">
        <v>78</v>
      </c>
      <c r="K12" s="56">
        <v>98</v>
      </c>
      <c r="L12" s="55"/>
      <c r="M12" s="55"/>
      <c r="N12" s="55"/>
      <c r="O12" s="55">
        <v>86</v>
      </c>
      <c r="P12" s="55"/>
      <c r="Q12" s="55"/>
      <c r="R12" s="55">
        <v>80</v>
      </c>
      <c r="S12" s="55"/>
      <c r="T12" s="55"/>
      <c r="U12" s="55"/>
      <c r="V12" s="55"/>
      <c r="W12" s="57">
        <f t="shared" si="0"/>
        <v>754</v>
      </c>
      <c r="X12" s="58">
        <f t="shared" si="15"/>
        <v>83.7777777777778</v>
      </c>
      <c r="Y12" s="57">
        <f t="shared" si="1"/>
        <v>2</v>
      </c>
      <c r="Z12" s="59"/>
      <c r="AA12" s="60" t="str">
        <f t="shared" si="2"/>
        <v>B</v>
      </c>
      <c r="AB12" s="60" t="str">
        <f t="shared" si="3"/>
        <v>A</v>
      </c>
      <c r="AC12" s="60" t="str">
        <f t="shared" si="4"/>
        <v>A</v>
      </c>
      <c r="AD12" s="60" t="str">
        <f t="shared" si="5"/>
        <v>A</v>
      </c>
      <c r="AE12" s="60" t="str">
        <f t="shared" si="6"/>
        <v>A</v>
      </c>
      <c r="AF12" s="60" t="str">
        <f t="shared" si="7"/>
        <v>A</v>
      </c>
      <c r="AG12" s="60" t="str">
        <f t="shared" si="8"/>
        <v>A</v>
      </c>
      <c r="AH12" s="60" t="str">
        <f t="shared" si="16"/>
        <v>-</v>
      </c>
      <c r="AI12" s="60" t="str">
        <f t="shared" si="17"/>
        <v>-</v>
      </c>
      <c r="AJ12" s="60" t="str">
        <f t="shared" si="18"/>
        <v>-</v>
      </c>
      <c r="AK12" s="60" t="str">
        <f t="shared" si="19"/>
        <v>A</v>
      </c>
      <c r="AL12" s="60" t="str">
        <f t="shared" ref="AL12:AL41" si="26">IF(P12="","-",IF(P12="AB","AB",IF(P12&gt;=75,"A",IF(P12&gt;=65,"B",IF(P12&gt;=55,"C",IF(P12&gt;=35,"S","F"))))))</f>
        <v>-</v>
      </c>
      <c r="AM12" s="60" t="str">
        <f t="shared" si="20"/>
        <v>-</v>
      </c>
      <c r="AN12" s="60" t="str">
        <f t="shared" si="21"/>
        <v>A</v>
      </c>
      <c r="AO12" s="60" t="str">
        <f t="shared" si="22"/>
        <v>-</v>
      </c>
      <c r="AP12" s="60" t="str">
        <f t="shared" si="23"/>
        <v>-</v>
      </c>
      <c r="AQ12" s="60" t="str">
        <f t="shared" si="24"/>
        <v>-</v>
      </c>
      <c r="AR12" s="60" t="str">
        <f t="shared" si="25"/>
        <v>-</v>
      </c>
      <c r="AS12" s="59">
        <f t="shared" si="10"/>
        <v>8</v>
      </c>
      <c r="AT12" s="59">
        <f t="shared" si="11"/>
        <v>1</v>
      </c>
      <c r="AU12" s="59">
        <f t="shared" si="12"/>
        <v>0</v>
      </c>
      <c r="AV12" s="59">
        <f t="shared" si="13"/>
        <v>0</v>
      </c>
      <c r="AW12" s="59">
        <f t="shared" si="14"/>
        <v>0</v>
      </c>
    </row>
    <row r="13" spans="2:50" s="41" customFormat="1" ht="12" customHeight="1">
      <c r="B13" s="53">
        <v>5</v>
      </c>
      <c r="C13" s="54"/>
      <c r="D13" s="55" t="s">
        <v>44</v>
      </c>
      <c r="E13" s="56">
        <v>72</v>
      </c>
      <c r="F13" s="56">
        <v>73</v>
      </c>
      <c r="G13" s="56">
        <v>62</v>
      </c>
      <c r="H13" s="56">
        <v>77</v>
      </c>
      <c r="I13" s="56">
        <v>77</v>
      </c>
      <c r="J13" s="56">
        <v>73</v>
      </c>
      <c r="K13" s="56">
        <v>96</v>
      </c>
      <c r="L13" s="55"/>
      <c r="M13" s="55"/>
      <c r="N13" s="55">
        <v>71</v>
      </c>
      <c r="O13" s="55"/>
      <c r="P13" s="55"/>
      <c r="Q13" s="55"/>
      <c r="R13" s="55">
        <v>84</v>
      </c>
      <c r="S13" s="55"/>
      <c r="T13" s="55"/>
      <c r="U13" s="55"/>
      <c r="V13" s="55"/>
      <c r="W13" s="57">
        <f t="shared" si="0"/>
        <v>685</v>
      </c>
      <c r="X13" s="58">
        <f t="shared" si="15"/>
        <v>76.1111111111111</v>
      </c>
      <c r="Y13" s="57">
        <f t="shared" si="1"/>
        <v>16</v>
      </c>
      <c r="Z13" s="59"/>
      <c r="AA13" s="60" t="str">
        <f t="shared" si="2"/>
        <v>B</v>
      </c>
      <c r="AB13" s="60" t="str">
        <f t="shared" si="3"/>
        <v>B</v>
      </c>
      <c r="AC13" s="60" t="str">
        <f t="shared" si="4"/>
        <v>C</v>
      </c>
      <c r="AD13" s="60" t="str">
        <f t="shared" si="5"/>
        <v>A</v>
      </c>
      <c r="AE13" s="60" t="str">
        <f t="shared" si="6"/>
        <v>A</v>
      </c>
      <c r="AF13" s="60" t="str">
        <f t="shared" si="7"/>
        <v>B</v>
      </c>
      <c r="AG13" s="60" t="str">
        <f t="shared" si="8"/>
        <v>A</v>
      </c>
      <c r="AH13" s="60" t="str">
        <f t="shared" si="16"/>
        <v>-</v>
      </c>
      <c r="AI13" s="60" t="str">
        <f t="shared" si="17"/>
        <v>-</v>
      </c>
      <c r="AJ13" s="60" t="str">
        <f t="shared" si="18"/>
        <v>B</v>
      </c>
      <c r="AK13" s="60" t="str">
        <f t="shared" si="19"/>
        <v>-</v>
      </c>
      <c r="AL13" s="60" t="str">
        <f t="shared" si="26"/>
        <v>-</v>
      </c>
      <c r="AM13" s="60" t="str">
        <f t="shared" si="20"/>
        <v>-</v>
      </c>
      <c r="AN13" s="60" t="str">
        <f t="shared" si="21"/>
        <v>A</v>
      </c>
      <c r="AO13" s="60" t="str">
        <f t="shared" si="22"/>
        <v>-</v>
      </c>
      <c r="AP13" s="60" t="str">
        <f t="shared" si="23"/>
        <v>-</v>
      </c>
      <c r="AQ13" s="60" t="str">
        <f t="shared" si="24"/>
        <v>-</v>
      </c>
      <c r="AR13" s="60" t="str">
        <f t="shared" si="25"/>
        <v>-</v>
      </c>
      <c r="AS13" s="59">
        <f t="shared" si="10"/>
        <v>4</v>
      </c>
      <c r="AT13" s="59">
        <f t="shared" si="11"/>
        <v>4</v>
      </c>
      <c r="AU13" s="59">
        <f t="shared" si="12"/>
        <v>1</v>
      </c>
      <c r="AV13" s="59">
        <f t="shared" si="13"/>
        <v>0</v>
      </c>
      <c r="AW13" s="59">
        <f t="shared" si="14"/>
        <v>0</v>
      </c>
    </row>
    <row r="14" spans="2:50" s="41" customFormat="1" ht="12" customHeight="1">
      <c r="B14" s="53">
        <v>6</v>
      </c>
      <c r="C14" s="54"/>
      <c r="D14" s="55" t="s">
        <v>45</v>
      </c>
      <c r="E14" s="56">
        <v>83</v>
      </c>
      <c r="F14" s="56">
        <v>64</v>
      </c>
      <c r="G14" s="56">
        <v>66</v>
      </c>
      <c r="H14" s="56">
        <v>73</v>
      </c>
      <c r="I14" s="56">
        <v>73</v>
      </c>
      <c r="J14" s="56">
        <v>61</v>
      </c>
      <c r="K14" s="56">
        <v>66</v>
      </c>
      <c r="L14" s="55"/>
      <c r="M14" s="55"/>
      <c r="N14" s="55"/>
      <c r="O14" s="55">
        <v>79</v>
      </c>
      <c r="P14" s="55"/>
      <c r="Q14" s="55"/>
      <c r="R14" s="55"/>
      <c r="S14" s="55">
        <v>90</v>
      </c>
      <c r="T14" s="55"/>
      <c r="U14" s="55"/>
      <c r="V14" s="55"/>
      <c r="W14" s="57">
        <f t="shared" si="0"/>
        <v>655</v>
      </c>
      <c r="X14" s="58">
        <f t="shared" si="15"/>
        <v>72.7777777777778</v>
      </c>
      <c r="Y14" s="57">
        <f t="shared" si="1"/>
        <v>21</v>
      </c>
      <c r="Z14" s="59"/>
      <c r="AA14" s="60" t="str">
        <f t="shared" si="2"/>
        <v>A</v>
      </c>
      <c r="AB14" s="60" t="str">
        <f t="shared" si="3"/>
        <v>C</v>
      </c>
      <c r="AC14" s="60" t="str">
        <f t="shared" si="4"/>
        <v>B</v>
      </c>
      <c r="AD14" s="60" t="str">
        <f t="shared" si="5"/>
        <v>B</v>
      </c>
      <c r="AE14" s="60" t="str">
        <f t="shared" si="6"/>
        <v>B</v>
      </c>
      <c r="AF14" s="60" t="str">
        <f t="shared" si="7"/>
        <v>C</v>
      </c>
      <c r="AG14" s="60" t="str">
        <f t="shared" si="8"/>
        <v>B</v>
      </c>
      <c r="AH14" s="60" t="str">
        <f t="shared" si="16"/>
        <v>-</v>
      </c>
      <c r="AI14" s="60" t="str">
        <f t="shared" si="17"/>
        <v>-</v>
      </c>
      <c r="AJ14" s="60" t="str">
        <f t="shared" si="18"/>
        <v>-</v>
      </c>
      <c r="AK14" s="60" t="str">
        <f t="shared" si="19"/>
        <v>A</v>
      </c>
      <c r="AL14" s="60" t="str">
        <f t="shared" si="26"/>
        <v>-</v>
      </c>
      <c r="AM14" s="60" t="str">
        <f t="shared" si="20"/>
        <v>-</v>
      </c>
      <c r="AN14" s="60" t="str">
        <f t="shared" si="21"/>
        <v>-</v>
      </c>
      <c r="AO14" s="60" t="str">
        <f t="shared" si="22"/>
        <v>A</v>
      </c>
      <c r="AP14" s="60" t="str">
        <f t="shared" si="23"/>
        <v>-</v>
      </c>
      <c r="AQ14" s="60" t="str">
        <f t="shared" si="24"/>
        <v>-</v>
      </c>
      <c r="AR14" s="60" t="str">
        <f t="shared" si="25"/>
        <v>-</v>
      </c>
      <c r="AS14" s="59">
        <f t="shared" si="10"/>
        <v>3</v>
      </c>
      <c r="AT14" s="59">
        <f t="shared" si="11"/>
        <v>4</v>
      </c>
      <c r="AU14" s="59">
        <f t="shared" si="12"/>
        <v>2</v>
      </c>
      <c r="AV14" s="59">
        <f t="shared" si="13"/>
        <v>0</v>
      </c>
      <c r="AW14" s="59">
        <f t="shared" si="14"/>
        <v>0</v>
      </c>
    </row>
    <row r="15" spans="2:50" s="41" customFormat="1" ht="12" customHeight="1">
      <c r="B15" s="53">
        <v>7</v>
      </c>
      <c r="C15" s="54"/>
      <c r="D15" s="55" t="s">
        <v>46</v>
      </c>
      <c r="E15" s="56">
        <v>74</v>
      </c>
      <c r="F15" s="56">
        <v>80</v>
      </c>
      <c r="G15" s="56">
        <v>78</v>
      </c>
      <c r="H15" s="56">
        <v>81</v>
      </c>
      <c r="I15" s="56">
        <v>75</v>
      </c>
      <c r="J15" s="56">
        <v>69</v>
      </c>
      <c r="K15" s="56">
        <v>84</v>
      </c>
      <c r="L15" s="55"/>
      <c r="M15" s="55"/>
      <c r="N15" s="55"/>
      <c r="O15" s="55"/>
      <c r="P15" s="55"/>
      <c r="Q15" s="55">
        <v>76</v>
      </c>
      <c r="R15" s="55"/>
      <c r="S15" s="55"/>
      <c r="T15" s="55">
        <v>71</v>
      </c>
      <c r="U15" s="55"/>
      <c r="V15" s="55"/>
      <c r="W15" s="57">
        <f t="shared" si="0"/>
        <v>688</v>
      </c>
      <c r="X15" s="58">
        <f t="shared" si="15"/>
        <v>76.4444444444444</v>
      </c>
      <c r="Y15" s="57">
        <f t="shared" si="1"/>
        <v>15</v>
      </c>
      <c r="Z15" s="59"/>
      <c r="AA15" s="60" t="str">
        <f t="shared" si="2"/>
        <v>B</v>
      </c>
      <c r="AB15" s="60" t="str">
        <f t="shared" si="3"/>
        <v>A</v>
      </c>
      <c r="AC15" s="60" t="str">
        <f t="shared" si="4"/>
        <v>A</v>
      </c>
      <c r="AD15" s="60" t="str">
        <f t="shared" si="5"/>
        <v>A</v>
      </c>
      <c r="AE15" s="60" t="str">
        <f t="shared" si="6"/>
        <v>A</v>
      </c>
      <c r="AF15" s="60" t="str">
        <f t="shared" si="7"/>
        <v>B</v>
      </c>
      <c r="AG15" s="60" t="str">
        <f t="shared" si="8"/>
        <v>A</v>
      </c>
      <c r="AH15" s="60" t="str">
        <f t="shared" si="16"/>
        <v>-</v>
      </c>
      <c r="AI15" s="60" t="str">
        <f t="shared" si="17"/>
        <v>-</v>
      </c>
      <c r="AJ15" s="60" t="str">
        <f t="shared" si="18"/>
        <v>-</v>
      </c>
      <c r="AK15" s="60" t="str">
        <f t="shared" si="19"/>
        <v>-</v>
      </c>
      <c r="AL15" s="60" t="str">
        <f t="shared" si="26"/>
        <v>-</v>
      </c>
      <c r="AM15" s="60" t="str">
        <f t="shared" si="20"/>
        <v>A</v>
      </c>
      <c r="AN15" s="60" t="str">
        <f t="shared" si="21"/>
        <v>-</v>
      </c>
      <c r="AO15" s="60" t="str">
        <f t="shared" si="22"/>
        <v>-</v>
      </c>
      <c r="AP15" s="60" t="str">
        <f t="shared" si="23"/>
        <v>B</v>
      </c>
      <c r="AQ15" s="60" t="str">
        <f t="shared" si="24"/>
        <v>-</v>
      </c>
      <c r="AR15" s="60" t="str">
        <f t="shared" si="25"/>
        <v>-</v>
      </c>
      <c r="AS15" s="59">
        <f t="shared" si="10"/>
        <v>6</v>
      </c>
      <c r="AT15" s="59">
        <f t="shared" si="11"/>
        <v>3</v>
      </c>
      <c r="AU15" s="59">
        <f t="shared" si="12"/>
        <v>0</v>
      </c>
      <c r="AV15" s="59">
        <f t="shared" si="13"/>
        <v>0</v>
      </c>
      <c r="AW15" s="59">
        <f t="shared" si="14"/>
        <v>0</v>
      </c>
    </row>
    <row r="16" spans="2:50" s="41" customFormat="1" ht="12" customHeight="1">
      <c r="B16" s="53">
        <v>8</v>
      </c>
      <c r="C16" s="54"/>
      <c r="D16" s="55" t="s">
        <v>47</v>
      </c>
      <c r="E16" s="56">
        <v>48</v>
      </c>
      <c r="F16" s="56">
        <v>66</v>
      </c>
      <c r="G16" s="56">
        <v>68</v>
      </c>
      <c r="H16" s="56">
        <v>55</v>
      </c>
      <c r="I16" s="56">
        <v>49</v>
      </c>
      <c r="J16" s="56">
        <v>53</v>
      </c>
      <c r="K16" s="56">
        <v>70</v>
      </c>
      <c r="L16" s="55"/>
      <c r="M16" s="55"/>
      <c r="N16" s="55"/>
      <c r="O16" s="55"/>
      <c r="P16" s="55"/>
      <c r="Q16" s="55">
        <v>65</v>
      </c>
      <c r="R16" s="55"/>
      <c r="S16" s="55"/>
      <c r="T16" s="55"/>
      <c r="U16" s="55">
        <v>65</v>
      </c>
      <c r="V16" s="55"/>
      <c r="W16" s="57">
        <f t="shared" si="0"/>
        <v>539</v>
      </c>
      <c r="X16" s="58">
        <f t="shared" si="15"/>
        <v>59.8888888888889</v>
      </c>
      <c r="Y16" s="57">
        <f t="shared" si="1"/>
        <v>29</v>
      </c>
      <c r="Z16" s="59"/>
      <c r="AA16" s="60" t="str">
        <f t="shared" si="2"/>
        <v>S</v>
      </c>
      <c r="AB16" s="60" t="str">
        <f t="shared" si="3"/>
        <v>B</v>
      </c>
      <c r="AC16" s="60" t="str">
        <f t="shared" si="4"/>
        <v>B</v>
      </c>
      <c r="AD16" s="60" t="str">
        <f t="shared" si="5"/>
        <v>C</v>
      </c>
      <c r="AE16" s="60" t="str">
        <f t="shared" si="6"/>
        <v>S</v>
      </c>
      <c r="AF16" s="60" t="str">
        <f t="shared" si="7"/>
        <v>S</v>
      </c>
      <c r="AG16" s="60" t="str">
        <f t="shared" si="8"/>
        <v>B</v>
      </c>
      <c r="AH16" s="60" t="str">
        <f t="shared" si="16"/>
        <v>-</v>
      </c>
      <c r="AI16" s="60" t="str">
        <f t="shared" si="17"/>
        <v>-</v>
      </c>
      <c r="AJ16" s="60" t="str">
        <f t="shared" si="18"/>
        <v>-</v>
      </c>
      <c r="AK16" s="60" t="str">
        <f t="shared" si="19"/>
        <v>-</v>
      </c>
      <c r="AL16" s="60" t="str">
        <f t="shared" si="26"/>
        <v>-</v>
      </c>
      <c r="AM16" s="60" t="str">
        <f t="shared" si="20"/>
        <v>B</v>
      </c>
      <c r="AN16" s="60" t="str">
        <f t="shared" si="21"/>
        <v>-</v>
      </c>
      <c r="AO16" s="60" t="str">
        <f t="shared" si="22"/>
        <v>-</v>
      </c>
      <c r="AP16" s="60" t="str">
        <f t="shared" si="23"/>
        <v>-</v>
      </c>
      <c r="AQ16" s="60" t="str">
        <f t="shared" si="24"/>
        <v>B</v>
      </c>
      <c r="AR16" s="60" t="str">
        <f t="shared" si="25"/>
        <v>-</v>
      </c>
      <c r="AS16" s="59">
        <f t="shared" si="10"/>
        <v>0</v>
      </c>
      <c r="AT16" s="59">
        <f t="shared" si="11"/>
        <v>5</v>
      </c>
      <c r="AU16" s="59">
        <f t="shared" si="12"/>
        <v>1</v>
      </c>
      <c r="AV16" s="59">
        <f t="shared" si="13"/>
        <v>3</v>
      </c>
      <c r="AW16" s="59">
        <f t="shared" si="14"/>
        <v>0</v>
      </c>
    </row>
    <row r="17" spans="2:49" s="41" customFormat="1" ht="12" customHeight="1">
      <c r="B17" s="53">
        <v>9</v>
      </c>
      <c r="C17" s="54"/>
      <c r="D17" s="55" t="s">
        <v>48</v>
      </c>
      <c r="E17" s="56">
        <v>84</v>
      </c>
      <c r="F17" s="56">
        <v>94</v>
      </c>
      <c r="G17" s="56">
        <v>84</v>
      </c>
      <c r="H17" s="56">
        <v>80</v>
      </c>
      <c r="I17" s="56">
        <v>82</v>
      </c>
      <c r="J17" s="56">
        <v>69</v>
      </c>
      <c r="K17" s="56">
        <v>81</v>
      </c>
      <c r="L17" s="55">
        <v>82</v>
      </c>
      <c r="M17" s="55"/>
      <c r="N17" s="55"/>
      <c r="O17" s="55"/>
      <c r="P17" s="55"/>
      <c r="Q17" s="55"/>
      <c r="R17" s="55"/>
      <c r="S17" s="55"/>
      <c r="T17" s="55"/>
      <c r="U17" s="55">
        <v>93</v>
      </c>
      <c r="V17" s="55"/>
      <c r="W17" s="57">
        <f t="shared" si="0"/>
        <v>749</v>
      </c>
      <c r="X17" s="58">
        <f t="shared" si="15"/>
        <v>83.2222222222222</v>
      </c>
      <c r="Y17" s="57">
        <f t="shared" si="1"/>
        <v>3</v>
      </c>
      <c r="Z17" s="59"/>
      <c r="AA17" s="60" t="str">
        <f t="shared" si="2"/>
        <v>A</v>
      </c>
      <c r="AB17" s="60" t="str">
        <f t="shared" si="3"/>
        <v>A</v>
      </c>
      <c r="AC17" s="60" t="str">
        <f t="shared" si="4"/>
        <v>A</v>
      </c>
      <c r="AD17" s="60" t="str">
        <f t="shared" si="5"/>
        <v>A</v>
      </c>
      <c r="AE17" s="60" t="str">
        <f t="shared" si="6"/>
        <v>A</v>
      </c>
      <c r="AF17" s="60" t="str">
        <f t="shared" si="7"/>
        <v>B</v>
      </c>
      <c r="AG17" s="60" t="str">
        <f t="shared" si="8"/>
        <v>A</v>
      </c>
      <c r="AH17" s="60" t="str">
        <f t="shared" si="16"/>
        <v>A</v>
      </c>
      <c r="AI17" s="60" t="str">
        <f t="shared" si="17"/>
        <v>-</v>
      </c>
      <c r="AJ17" s="60" t="str">
        <f t="shared" si="18"/>
        <v>-</v>
      </c>
      <c r="AK17" s="60" t="str">
        <f t="shared" si="19"/>
        <v>-</v>
      </c>
      <c r="AL17" s="60" t="str">
        <f t="shared" si="26"/>
        <v>-</v>
      </c>
      <c r="AM17" s="60" t="str">
        <f t="shared" si="20"/>
        <v>-</v>
      </c>
      <c r="AN17" s="60" t="str">
        <f t="shared" si="21"/>
        <v>-</v>
      </c>
      <c r="AO17" s="60" t="str">
        <f t="shared" si="22"/>
        <v>-</v>
      </c>
      <c r="AP17" s="60" t="str">
        <f t="shared" si="23"/>
        <v>-</v>
      </c>
      <c r="AQ17" s="60" t="str">
        <f t="shared" si="24"/>
        <v>A</v>
      </c>
      <c r="AR17" s="60" t="str">
        <f t="shared" si="25"/>
        <v>-</v>
      </c>
      <c r="AS17" s="59">
        <f t="shared" si="10"/>
        <v>8</v>
      </c>
      <c r="AT17" s="59">
        <f t="shared" si="11"/>
        <v>1</v>
      </c>
      <c r="AU17" s="59">
        <f t="shared" si="12"/>
        <v>0</v>
      </c>
      <c r="AV17" s="59">
        <f t="shared" si="13"/>
        <v>0</v>
      </c>
      <c r="AW17" s="59">
        <f t="shared" si="14"/>
        <v>0</v>
      </c>
    </row>
    <row r="18" spans="2:49" s="41" customFormat="1" ht="12" customHeight="1">
      <c r="B18" s="53">
        <v>10</v>
      </c>
      <c r="C18" s="63"/>
      <c r="D18" s="55" t="s">
        <v>49</v>
      </c>
      <c r="E18" s="56">
        <v>72</v>
      </c>
      <c r="F18" s="56">
        <v>86</v>
      </c>
      <c r="G18" s="56">
        <v>78</v>
      </c>
      <c r="H18" s="56">
        <v>78</v>
      </c>
      <c r="I18" s="56">
        <v>86</v>
      </c>
      <c r="J18" s="56">
        <v>74</v>
      </c>
      <c r="K18" s="56">
        <v>81</v>
      </c>
      <c r="L18" s="55"/>
      <c r="M18" s="55"/>
      <c r="N18" s="55"/>
      <c r="O18" s="55"/>
      <c r="P18" s="55"/>
      <c r="Q18" s="55">
        <v>78</v>
      </c>
      <c r="R18" s="55"/>
      <c r="S18" s="55"/>
      <c r="T18" s="55"/>
      <c r="U18" s="55"/>
      <c r="V18" s="55">
        <v>72</v>
      </c>
      <c r="W18" s="57">
        <f t="shared" si="0"/>
        <v>705</v>
      </c>
      <c r="X18" s="58">
        <f t="shared" si="15"/>
        <v>78.3333333333333</v>
      </c>
      <c r="Y18" s="57">
        <f t="shared" si="1"/>
        <v>11</v>
      </c>
      <c r="Z18" s="59"/>
      <c r="AA18" s="60" t="str">
        <f t="shared" si="2"/>
        <v>B</v>
      </c>
      <c r="AB18" s="60" t="str">
        <f t="shared" si="3"/>
        <v>A</v>
      </c>
      <c r="AC18" s="60" t="str">
        <f t="shared" si="4"/>
        <v>A</v>
      </c>
      <c r="AD18" s="60" t="str">
        <f t="shared" si="5"/>
        <v>A</v>
      </c>
      <c r="AE18" s="60" t="str">
        <f t="shared" si="6"/>
        <v>A</v>
      </c>
      <c r="AF18" s="60" t="str">
        <f t="shared" si="7"/>
        <v>B</v>
      </c>
      <c r="AG18" s="60" t="str">
        <f t="shared" si="8"/>
        <v>A</v>
      </c>
      <c r="AH18" s="60" t="str">
        <f t="shared" si="16"/>
        <v>-</v>
      </c>
      <c r="AI18" s="60" t="str">
        <f t="shared" si="17"/>
        <v>-</v>
      </c>
      <c r="AJ18" s="60" t="str">
        <f t="shared" si="18"/>
        <v>-</v>
      </c>
      <c r="AK18" s="60" t="str">
        <f t="shared" si="19"/>
        <v>-</v>
      </c>
      <c r="AL18" s="60" t="str">
        <f t="shared" si="26"/>
        <v>-</v>
      </c>
      <c r="AM18" s="60" t="str">
        <f t="shared" si="20"/>
        <v>A</v>
      </c>
      <c r="AN18" s="60" t="str">
        <f t="shared" si="21"/>
        <v>-</v>
      </c>
      <c r="AO18" s="60" t="str">
        <f t="shared" si="22"/>
        <v>-</v>
      </c>
      <c r="AP18" s="60" t="str">
        <f t="shared" si="23"/>
        <v>-</v>
      </c>
      <c r="AQ18" s="60" t="str">
        <f t="shared" si="24"/>
        <v>-</v>
      </c>
      <c r="AR18" s="60" t="str">
        <f t="shared" si="25"/>
        <v>B</v>
      </c>
      <c r="AS18" s="59">
        <f t="shared" si="10"/>
        <v>6</v>
      </c>
      <c r="AT18" s="59">
        <f t="shared" si="11"/>
        <v>3</v>
      </c>
      <c r="AU18" s="59">
        <f t="shared" si="12"/>
        <v>0</v>
      </c>
      <c r="AV18" s="59">
        <f t="shared" si="13"/>
        <v>0</v>
      </c>
      <c r="AW18" s="59">
        <f t="shared" si="14"/>
        <v>0</v>
      </c>
    </row>
    <row r="19" spans="2:49" s="42" customFormat="1" ht="12" customHeight="1">
      <c r="B19" s="64">
        <v>11</v>
      </c>
      <c r="C19" s="65"/>
      <c r="D19" s="55" t="s">
        <v>50</v>
      </c>
      <c r="E19" s="55">
        <v>61</v>
      </c>
      <c r="F19" s="64">
        <v>47</v>
      </c>
      <c r="G19" s="64">
        <v>68</v>
      </c>
      <c r="H19" s="64">
        <v>69</v>
      </c>
      <c r="I19" s="64">
        <v>65</v>
      </c>
      <c r="J19" s="64">
        <v>51</v>
      </c>
      <c r="K19" s="64">
        <v>80</v>
      </c>
      <c r="L19" s="64"/>
      <c r="M19" s="64"/>
      <c r="N19" s="64">
        <v>66</v>
      </c>
      <c r="O19" s="64"/>
      <c r="P19" s="64"/>
      <c r="Q19" s="64"/>
      <c r="R19" s="64"/>
      <c r="S19" s="64"/>
      <c r="T19" s="64"/>
      <c r="U19" s="64">
        <v>64</v>
      </c>
      <c r="V19" s="64"/>
      <c r="W19" s="57">
        <f t="shared" si="0"/>
        <v>571</v>
      </c>
      <c r="X19" s="58">
        <f t="shared" si="15"/>
        <v>63.4444444444444</v>
      </c>
      <c r="Y19" s="57">
        <f t="shared" si="1"/>
        <v>27</v>
      </c>
      <c r="Z19" s="59"/>
      <c r="AA19" s="60" t="str">
        <f t="shared" si="2"/>
        <v>C</v>
      </c>
      <c r="AB19" s="60" t="str">
        <f t="shared" si="3"/>
        <v>S</v>
      </c>
      <c r="AC19" s="60" t="str">
        <f t="shared" si="4"/>
        <v>B</v>
      </c>
      <c r="AD19" s="60" t="str">
        <f t="shared" si="5"/>
        <v>B</v>
      </c>
      <c r="AE19" s="60" t="str">
        <f t="shared" si="6"/>
        <v>B</v>
      </c>
      <c r="AF19" s="60" t="str">
        <f t="shared" si="7"/>
        <v>S</v>
      </c>
      <c r="AG19" s="60" t="str">
        <f t="shared" si="8"/>
        <v>A</v>
      </c>
      <c r="AH19" s="60" t="str">
        <f t="shared" si="16"/>
        <v>-</v>
      </c>
      <c r="AI19" s="60" t="str">
        <f t="shared" si="17"/>
        <v>-</v>
      </c>
      <c r="AJ19" s="60" t="str">
        <f t="shared" si="18"/>
        <v>B</v>
      </c>
      <c r="AK19" s="60" t="str">
        <f t="shared" si="19"/>
        <v>-</v>
      </c>
      <c r="AL19" s="60" t="str">
        <f t="shared" si="26"/>
        <v>-</v>
      </c>
      <c r="AM19" s="60" t="str">
        <f t="shared" si="20"/>
        <v>-</v>
      </c>
      <c r="AN19" s="60" t="str">
        <f t="shared" si="21"/>
        <v>-</v>
      </c>
      <c r="AO19" s="60" t="str">
        <f t="shared" si="22"/>
        <v>-</v>
      </c>
      <c r="AP19" s="60" t="str">
        <f t="shared" si="23"/>
        <v>-</v>
      </c>
      <c r="AQ19" s="60" t="str">
        <f t="shared" si="24"/>
        <v>C</v>
      </c>
      <c r="AR19" s="60" t="str">
        <f t="shared" si="25"/>
        <v>-</v>
      </c>
      <c r="AS19" s="59">
        <f t="shared" si="10"/>
        <v>1</v>
      </c>
      <c r="AT19" s="59">
        <f t="shared" si="11"/>
        <v>4</v>
      </c>
      <c r="AU19" s="59">
        <f t="shared" si="12"/>
        <v>2</v>
      </c>
      <c r="AV19" s="59">
        <f t="shared" si="13"/>
        <v>2</v>
      </c>
      <c r="AW19" s="59">
        <f t="shared" si="14"/>
        <v>0</v>
      </c>
    </row>
    <row r="20" spans="2:49" s="41" customFormat="1" ht="12" customHeight="1">
      <c r="B20" s="53">
        <v>12</v>
      </c>
      <c r="C20" s="66"/>
      <c r="D20" s="55" t="s">
        <v>51</v>
      </c>
      <c r="E20" s="56" t="s">
        <v>52</v>
      </c>
      <c r="F20" s="56">
        <v>32</v>
      </c>
      <c r="G20" s="56">
        <v>65</v>
      </c>
      <c r="H20" s="56">
        <v>66</v>
      </c>
      <c r="I20" s="56">
        <v>79</v>
      </c>
      <c r="J20" s="56">
        <v>39</v>
      </c>
      <c r="K20" s="56">
        <v>80</v>
      </c>
      <c r="L20" s="56"/>
      <c r="M20" s="56"/>
      <c r="N20" s="55"/>
      <c r="O20" s="55"/>
      <c r="P20" s="55"/>
      <c r="Q20" s="55">
        <v>60</v>
      </c>
      <c r="R20" s="55"/>
      <c r="S20" s="55"/>
      <c r="T20" s="55"/>
      <c r="U20" s="55"/>
      <c r="V20" s="55">
        <v>70</v>
      </c>
      <c r="W20" s="57">
        <f t="shared" si="0"/>
        <v>491</v>
      </c>
      <c r="X20" s="58">
        <f t="shared" si="15"/>
        <v>54.5555555555556</v>
      </c>
      <c r="Y20" s="57">
        <f t="shared" si="1"/>
        <v>31</v>
      </c>
      <c r="Z20" s="59"/>
      <c r="AA20" s="60" t="str">
        <f t="shared" si="2"/>
        <v>AB</v>
      </c>
      <c r="AB20" s="60" t="str">
        <f t="shared" si="3"/>
        <v>F</v>
      </c>
      <c r="AC20" s="60" t="str">
        <f t="shared" si="4"/>
        <v>B</v>
      </c>
      <c r="AD20" s="60" t="str">
        <f t="shared" si="5"/>
        <v>B</v>
      </c>
      <c r="AE20" s="60" t="str">
        <f t="shared" si="6"/>
        <v>A</v>
      </c>
      <c r="AF20" s="60" t="str">
        <f t="shared" si="7"/>
        <v>S</v>
      </c>
      <c r="AG20" s="60" t="str">
        <f t="shared" si="8"/>
        <v>A</v>
      </c>
      <c r="AH20" s="60" t="str">
        <f t="shared" si="16"/>
        <v>-</v>
      </c>
      <c r="AI20" s="60" t="str">
        <f t="shared" si="17"/>
        <v>-</v>
      </c>
      <c r="AJ20" s="60" t="str">
        <f t="shared" si="18"/>
        <v>-</v>
      </c>
      <c r="AK20" s="60" t="str">
        <f t="shared" si="19"/>
        <v>-</v>
      </c>
      <c r="AL20" s="60" t="str">
        <f t="shared" si="26"/>
        <v>-</v>
      </c>
      <c r="AM20" s="60" t="str">
        <f t="shared" si="20"/>
        <v>C</v>
      </c>
      <c r="AN20" s="60" t="str">
        <f t="shared" si="21"/>
        <v>-</v>
      </c>
      <c r="AO20" s="60" t="str">
        <f t="shared" si="22"/>
        <v>-</v>
      </c>
      <c r="AP20" s="60" t="str">
        <f t="shared" si="23"/>
        <v>-</v>
      </c>
      <c r="AQ20" s="60" t="str">
        <f t="shared" si="24"/>
        <v>-</v>
      </c>
      <c r="AR20" s="60" t="str">
        <f t="shared" si="25"/>
        <v>B</v>
      </c>
      <c r="AS20" s="59">
        <f t="shared" si="10"/>
        <v>2</v>
      </c>
      <c r="AT20" s="59">
        <f t="shared" si="11"/>
        <v>3</v>
      </c>
      <c r="AU20" s="59">
        <f t="shared" si="12"/>
        <v>1</v>
      </c>
      <c r="AV20" s="59">
        <f t="shared" si="13"/>
        <v>1</v>
      </c>
      <c r="AW20" s="59">
        <f t="shared" si="14"/>
        <v>1</v>
      </c>
    </row>
    <row r="21" spans="2:49" s="41" customFormat="1" ht="12" customHeight="1">
      <c r="B21" s="53">
        <v>13</v>
      </c>
      <c r="C21" s="61"/>
      <c r="D21" s="55" t="s">
        <v>53</v>
      </c>
      <c r="E21" s="56">
        <v>70</v>
      </c>
      <c r="F21" s="56">
        <v>89</v>
      </c>
      <c r="G21" s="56">
        <v>83</v>
      </c>
      <c r="H21" s="56">
        <v>77</v>
      </c>
      <c r="I21" s="56">
        <v>87</v>
      </c>
      <c r="J21" s="56">
        <v>78</v>
      </c>
      <c r="K21" s="56">
        <v>98</v>
      </c>
      <c r="L21" s="56">
        <v>80</v>
      </c>
      <c r="M21" s="56"/>
      <c r="N21" s="55"/>
      <c r="O21" s="55"/>
      <c r="P21" s="55"/>
      <c r="Q21" s="55"/>
      <c r="R21" s="55"/>
      <c r="S21" s="55"/>
      <c r="T21" s="55"/>
      <c r="U21" s="55"/>
      <c r="V21" s="55">
        <v>80</v>
      </c>
      <c r="W21" s="57">
        <f t="shared" si="0"/>
        <v>742</v>
      </c>
      <c r="X21" s="58">
        <f t="shared" si="15"/>
        <v>82.4444444444444</v>
      </c>
      <c r="Y21" s="57">
        <f t="shared" si="1"/>
        <v>4</v>
      </c>
      <c r="Z21" s="59"/>
      <c r="AA21" s="60" t="str">
        <f t="shared" si="2"/>
        <v>B</v>
      </c>
      <c r="AB21" s="60" t="str">
        <f t="shared" si="3"/>
        <v>A</v>
      </c>
      <c r="AC21" s="60" t="str">
        <f t="shared" si="4"/>
        <v>A</v>
      </c>
      <c r="AD21" s="60" t="str">
        <f t="shared" si="5"/>
        <v>A</v>
      </c>
      <c r="AE21" s="60" t="str">
        <f t="shared" si="6"/>
        <v>A</v>
      </c>
      <c r="AF21" s="60" t="str">
        <f t="shared" si="7"/>
        <v>A</v>
      </c>
      <c r="AG21" s="60" t="str">
        <f t="shared" si="8"/>
        <v>A</v>
      </c>
      <c r="AH21" s="60" t="str">
        <f t="shared" si="16"/>
        <v>A</v>
      </c>
      <c r="AI21" s="60" t="str">
        <f t="shared" si="17"/>
        <v>-</v>
      </c>
      <c r="AJ21" s="60" t="str">
        <f t="shared" si="18"/>
        <v>-</v>
      </c>
      <c r="AK21" s="60" t="str">
        <f t="shared" si="19"/>
        <v>-</v>
      </c>
      <c r="AL21" s="60" t="str">
        <f t="shared" si="26"/>
        <v>-</v>
      </c>
      <c r="AM21" s="60" t="str">
        <f t="shared" si="20"/>
        <v>-</v>
      </c>
      <c r="AN21" s="60" t="str">
        <f t="shared" si="21"/>
        <v>-</v>
      </c>
      <c r="AO21" s="60" t="str">
        <f t="shared" si="22"/>
        <v>-</v>
      </c>
      <c r="AP21" s="60" t="str">
        <f t="shared" si="23"/>
        <v>-</v>
      </c>
      <c r="AQ21" s="60" t="str">
        <f t="shared" si="24"/>
        <v>-</v>
      </c>
      <c r="AR21" s="60" t="str">
        <f t="shared" si="25"/>
        <v>A</v>
      </c>
      <c r="AS21" s="59">
        <f t="shared" si="10"/>
        <v>8</v>
      </c>
      <c r="AT21" s="59">
        <f t="shared" si="11"/>
        <v>1</v>
      </c>
      <c r="AU21" s="59">
        <f t="shared" si="12"/>
        <v>0</v>
      </c>
      <c r="AV21" s="59">
        <f t="shared" si="13"/>
        <v>0</v>
      </c>
      <c r="AW21" s="59">
        <f t="shared" si="14"/>
        <v>0</v>
      </c>
    </row>
    <row r="22" spans="2:49" s="43" customFormat="1" ht="12" customHeight="1">
      <c r="B22" s="53">
        <v>14</v>
      </c>
      <c r="C22" s="61"/>
      <c r="D22" s="55" t="s">
        <v>54</v>
      </c>
      <c r="E22" s="56">
        <v>63</v>
      </c>
      <c r="F22" s="56">
        <v>81</v>
      </c>
      <c r="G22" s="56">
        <v>87</v>
      </c>
      <c r="H22" s="56">
        <v>71</v>
      </c>
      <c r="I22" s="56">
        <v>82</v>
      </c>
      <c r="J22" s="56">
        <v>77</v>
      </c>
      <c r="K22" s="56">
        <v>81</v>
      </c>
      <c r="L22" s="56"/>
      <c r="M22" s="56"/>
      <c r="N22" s="56"/>
      <c r="O22" s="56"/>
      <c r="P22" s="56"/>
      <c r="Q22" s="56">
        <v>74</v>
      </c>
      <c r="R22" s="56"/>
      <c r="S22" s="56">
        <v>89</v>
      </c>
      <c r="T22" s="56"/>
      <c r="U22" s="56"/>
      <c r="V22" s="56"/>
      <c r="W22" s="57">
        <f t="shared" si="0"/>
        <v>705</v>
      </c>
      <c r="X22" s="58">
        <f t="shared" si="15"/>
        <v>78.3333333333333</v>
      </c>
      <c r="Y22" s="57">
        <f t="shared" si="1"/>
        <v>11</v>
      </c>
      <c r="Z22" s="59"/>
      <c r="AA22" s="60" t="str">
        <f t="shared" si="2"/>
        <v>C</v>
      </c>
      <c r="AB22" s="60" t="str">
        <f t="shared" si="3"/>
        <v>A</v>
      </c>
      <c r="AC22" s="60" t="str">
        <f t="shared" si="4"/>
        <v>A</v>
      </c>
      <c r="AD22" s="60" t="str">
        <f t="shared" si="5"/>
        <v>B</v>
      </c>
      <c r="AE22" s="60" t="str">
        <f t="shared" si="6"/>
        <v>A</v>
      </c>
      <c r="AF22" s="60" t="str">
        <f t="shared" si="7"/>
        <v>A</v>
      </c>
      <c r="AG22" s="60" t="str">
        <f t="shared" si="8"/>
        <v>A</v>
      </c>
      <c r="AH22" s="60" t="str">
        <f t="shared" si="16"/>
        <v>-</v>
      </c>
      <c r="AI22" s="60" t="str">
        <f t="shared" si="17"/>
        <v>-</v>
      </c>
      <c r="AJ22" s="60" t="str">
        <f t="shared" si="18"/>
        <v>-</v>
      </c>
      <c r="AK22" s="60" t="str">
        <f t="shared" si="19"/>
        <v>-</v>
      </c>
      <c r="AL22" s="60" t="str">
        <f t="shared" si="26"/>
        <v>-</v>
      </c>
      <c r="AM22" s="60" t="str">
        <f t="shared" si="20"/>
        <v>B</v>
      </c>
      <c r="AN22" s="60" t="str">
        <f t="shared" si="21"/>
        <v>-</v>
      </c>
      <c r="AO22" s="60" t="str">
        <f t="shared" si="22"/>
        <v>A</v>
      </c>
      <c r="AP22" s="60" t="str">
        <f t="shared" si="23"/>
        <v>-</v>
      </c>
      <c r="AQ22" s="60" t="str">
        <f t="shared" si="24"/>
        <v>-</v>
      </c>
      <c r="AR22" s="60" t="str">
        <f t="shared" si="25"/>
        <v>-</v>
      </c>
      <c r="AS22" s="59">
        <f t="shared" si="10"/>
        <v>6</v>
      </c>
      <c r="AT22" s="59">
        <f t="shared" si="11"/>
        <v>2</v>
      </c>
      <c r="AU22" s="59">
        <f t="shared" si="12"/>
        <v>1</v>
      </c>
      <c r="AV22" s="59">
        <f t="shared" si="13"/>
        <v>0</v>
      </c>
      <c r="AW22" s="59">
        <f t="shared" si="14"/>
        <v>0</v>
      </c>
    </row>
    <row r="23" spans="2:49" s="41" customFormat="1" ht="12" customHeight="1">
      <c r="B23" s="53">
        <v>15</v>
      </c>
      <c r="C23" s="54"/>
      <c r="D23" s="55" t="s">
        <v>55</v>
      </c>
      <c r="E23" s="56">
        <v>76</v>
      </c>
      <c r="F23" s="56">
        <v>93</v>
      </c>
      <c r="G23" s="56">
        <v>72</v>
      </c>
      <c r="H23" s="56">
        <v>87</v>
      </c>
      <c r="I23" s="56">
        <v>82</v>
      </c>
      <c r="J23" s="56">
        <v>87</v>
      </c>
      <c r="K23" s="56">
        <v>80</v>
      </c>
      <c r="L23" s="55"/>
      <c r="M23" s="55"/>
      <c r="N23" s="55"/>
      <c r="O23" s="55">
        <v>88</v>
      </c>
      <c r="P23" s="55"/>
      <c r="Q23" s="55"/>
      <c r="R23" s="55"/>
      <c r="S23" s="55"/>
      <c r="T23" s="55"/>
      <c r="U23" s="55"/>
      <c r="V23" s="55">
        <v>73</v>
      </c>
      <c r="W23" s="57">
        <f t="shared" si="0"/>
        <v>738</v>
      </c>
      <c r="X23" s="58">
        <f t="shared" si="15"/>
        <v>82</v>
      </c>
      <c r="Y23" s="57">
        <f t="shared" si="1"/>
        <v>5</v>
      </c>
      <c r="Z23" s="59"/>
      <c r="AA23" s="60" t="str">
        <f t="shared" si="2"/>
        <v>A</v>
      </c>
      <c r="AB23" s="60" t="str">
        <f t="shared" si="3"/>
        <v>A</v>
      </c>
      <c r="AC23" s="60" t="s">
        <v>56</v>
      </c>
      <c r="AD23" s="60" t="str">
        <f t="shared" si="5"/>
        <v>A</v>
      </c>
      <c r="AE23" s="60" t="str">
        <f t="shared" si="6"/>
        <v>A</v>
      </c>
      <c r="AF23" s="60" t="str">
        <f t="shared" si="7"/>
        <v>A</v>
      </c>
      <c r="AG23" s="60" t="str">
        <f t="shared" si="8"/>
        <v>A</v>
      </c>
      <c r="AH23" s="60" t="str">
        <f t="shared" si="16"/>
        <v>-</v>
      </c>
      <c r="AI23" s="60" t="str">
        <f t="shared" si="17"/>
        <v>-</v>
      </c>
      <c r="AJ23" s="60" t="str">
        <f t="shared" si="18"/>
        <v>-</v>
      </c>
      <c r="AK23" s="60" t="str">
        <f t="shared" si="19"/>
        <v>A</v>
      </c>
      <c r="AL23" s="60" t="str">
        <f t="shared" si="26"/>
        <v>-</v>
      </c>
      <c r="AM23" s="60" t="str">
        <f t="shared" si="20"/>
        <v>-</v>
      </c>
      <c r="AN23" s="60" t="str">
        <f t="shared" si="21"/>
        <v>-</v>
      </c>
      <c r="AO23" s="60" t="str">
        <f t="shared" si="22"/>
        <v>-</v>
      </c>
      <c r="AP23" s="60" t="str">
        <f t="shared" si="23"/>
        <v>-</v>
      </c>
      <c r="AQ23" s="60" t="str">
        <f t="shared" si="24"/>
        <v>-</v>
      </c>
      <c r="AR23" s="60" t="str">
        <f t="shared" si="25"/>
        <v>B</v>
      </c>
      <c r="AS23" s="59">
        <f t="shared" si="10"/>
        <v>7</v>
      </c>
      <c r="AT23" s="59">
        <f t="shared" si="11"/>
        <v>1</v>
      </c>
      <c r="AU23" s="59">
        <f t="shared" si="12"/>
        <v>0</v>
      </c>
      <c r="AV23" s="59">
        <f t="shared" si="13"/>
        <v>0</v>
      </c>
      <c r="AW23" s="59">
        <f t="shared" si="14"/>
        <v>0</v>
      </c>
    </row>
    <row r="24" spans="2:49" s="41" customFormat="1" ht="12" customHeight="1">
      <c r="B24" s="53">
        <v>16</v>
      </c>
      <c r="C24" s="54"/>
      <c r="D24" s="55" t="s">
        <v>57</v>
      </c>
      <c r="E24" s="56">
        <v>51</v>
      </c>
      <c r="F24" s="56">
        <v>81</v>
      </c>
      <c r="G24" s="56">
        <v>78</v>
      </c>
      <c r="H24" s="56">
        <v>82</v>
      </c>
      <c r="I24" s="56">
        <v>73</v>
      </c>
      <c r="J24" s="56">
        <v>85</v>
      </c>
      <c r="K24" s="56">
        <v>93</v>
      </c>
      <c r="L24" s="55"/>
      <c r="M24" s="55"/>
      <c r="N24" s="55"/>
      <c r="O24" s="55"/>
      <c r="P24" s="55"/>
      <c r="Q24" s="55">
        <v>71</v>
      </c>
      <c r="R24" s="55">
        <v>85</v>
      </c>
      <c r="S24" s="55"/>
      <c r="T24" s="55"/>
      <c r="U24" s="55"/>
      <c r="V24" s="55"/>
      <c r="W24" s="57">
        <f t="shared" si="0"/>
        <v>699</v>
      </c>
      <c r="X24" s="58">
        <f t="shared" si="15"/>
        <v>77.6666666666667</v>
      </c>
      <c r="Y24" s="57">
        <f t="shared" si="1"/>
        <v>14</v>
      </c>
      <c r="Z24" s="59"/>
      <c r="AA24" s="60" t="str">
        <f t="shared" si="2"/>
        <v>S</v>
      </c>
      <c r="AB24" s="60" t="str">
        <f t="shared" si="3"/>
        <v>A</v>
      </c>
      <c r="AC24" s="60" t="str">
        <f t="shared" si="4"/>
        <v>A</v>
      </c>
      <c r="AD24" s="60" t="str">
        <f t="shared" si="5"/>
        <v>A</v>
      </c>
      <c r="AE24" s="60" t="str">
        <f t="shared" si="6"/>
        <v>B</v>
      </c>
      <c r="AF24" s="60" t="str">
        <f t="shared" si="7"/>
        <v>A</v>
      </c>
      <c r="AG24" s="60" t="str">
        <f t="shared" si="8"/>
        <v>A</v>
      </c>
      <c r="AH24" s="60" t="str">
        <f t="shared" si="16"/>
        <v>-</v>
      </c>
      <c r="AI24" s="60" t="str">
        <f t="shared" si="17"/>
        <v>-</v>
      </c>
      <c r="AJ24" s="60" t="str">
        <f t="shared" si="18"/>
        <v>-</v>
      </c>
      <c r="AK24" s="60" t="str">
        <f t="shared" si="19"/>
        <v>-</v>
      </c>
      <c r="AL24" s="60" t="str">
        <f t="shared" si="26"/>
        <v>-</v>
      </c>
      <c r="AM24" s="60" t="str">
        <f t="shared" si="20"/>
        <v>B</v>
      </c>
      <c r="AN24" s="60" t="str">
        <f t="shared" si="21"/>
        <v>A</v>
      </c>
      <c r="AO24" s="60" t="str">
        <f t="shared" si="22"/>
        <v>-</v>
      </c>
      <c r="AP24" s="60" t="str">
        <f t="shared" si="23"/>
        <v>-</v>
      </c>
      <c r="AQ24" s="60" t="str">
        <f t="shared" si="24"/>
        <v>-</v>
      </c>
      <c r="AR24" s="60" t="str">
        <f t="shared" si="25"/>
        <v>-</v>
      </c>
      <c r="AS24" s="59">
        <f t="shared" si="10"/>
        <v>6</v>
      </c>
      <c r="AT24" s="59">
        <f t="shared" si="11"/>
        <v>2</v>
      </c>
      <c r="AU24" s="59">
        <f t="shared" si="12"/>
        <v>0</v>
      </c>
      <c r="AV24" s="59">
        <f t="shared" si="13"/>
        <v>1</v>
      </c>
      <c r="AW24" s="59">
        <f t="shared" si="14"/>
        <v>0</v>
      </c>
    </row>
    <row r="25" spans="2:49" s="41" customFormat="1" ht="12" customHeight="1">
      <c r="B25" s="53">
        <v>17</v>
      </c>
      <c r="C25" s="54"/>
      <c r="D25" s="55" t="s">
        <v>58</v>
      </c>
      <c r="E25" s="56">
        <v>76</v>
      </c>
      <c r="F25" s="56">
        <v>86</v>
      </c>
      <c r="G25" s="56">
        <v>64</v>
      </c>
      <c r="H25" s="56">
        <v>83</v>
      </c>
      <c r="I25" s="56">
        <v>81</v>
      </c>
      <c r="J25" s="56">
        <v>73</v>
      </c>
      <c r="K25" s="56">
        <v>91</v>
      </c>
      <c r="L25" s="55"/>
      <c r="M25" s="55"/>
      <c r="N25" s="55">
        <v>79</v>
      </c>
      <c r="O25" s="55"/>
      <c r="P25" s="55"/>
      <c r="Q25" s="55"/>
      <c r="R25" s="55"/>
      <c r="S25" s="55"/>
      <c r="T25" s="55"/>
      <c r="U25" s="55"/>
      <c r="V25" s="55">
        <v>74</v>
      </c>
      <c r="W25" s="57">
        <f t="shared" si="0"/>
        <v>707</v>
      </c>
      <c r="X25" s="58">
        <f t="shared" si="15"/>
        <v>78.5555555555556</v>
      </c>
      <c r="Y25" s="57">
        <f t="shared" si="1"/>
        <v>10</v>
      </c>
      <c r="Z25" s="59"/>
      <c r="AA25" s="60" t="str">
        <f t="shared" si="2"/>
        <v>A</v>
      </c>
      <c r="AB25" s="60" t="str">
        <f t="shared" si="3"/>
        <v>A</v>
      </c>
      <c r="AC25" s="60" t="str">
        <f t="shared" si="4"/>
        <v>C</v>
      </c>
      <c r="AD25" s="60" t="str">
        <f t="shared" si="5"/>
        <v>A</v>
      </c>
      <c r="AE25" s="60" t="str">
        <f t="shared" si="6"/>
        <v>A</v>
      </c>
      <c r="AF25" s="60" t="str">
        <f t="shared" si="7"/>
        <v>B</v>
      </c>
      <c r="AG25" s="60" t="str">
        <f t="shared" si="8"/>
        <v>A</v>
      </c>
      <c r="AH25" s="60" t="str">
        <f t="shared" si="16"/>
        <v>-</v>
      </c>
      <c r="AI25" s="60" t="str">
        <f t="shared" si="17"/>
        <v>-</v>
      </c>
      <c r="AJ25" s="60" t="str">
        <f t="shared" si="18"/>
        <v>A</v>
      </c>
      <c r="AK25" s="60" t="str">
        <f t="shared" si="19"/>
        <v>-</v>
      </c>
      <c r="AL25" s="60" t="str">
        <f t="shared" si="26"/>
        <v>-</v>
      </c>
      <c r="AM25" s="60" t="str">
        <f t="shared" si="20"/>
        <v>-</v>
      </c>
      <c r="AN25" s="60" t="str">
        <f t="shared" si="21"/>
        <v>-</v>
      </c>
      <c r="AO25" s="60" t="str">
        <f t="shared" si="22"/>
        <v>-</v>
      </c>
      <c r="AP25" s="60" t="str">
        <f t="shared" si="23"/>
        <v>-</v>
      </c>
      <c r="AQ25" s="60" t="str">
        <f t="shared" si="24"/>
        <v>-</v>
      </c>
      <c r="AR25" s="60" t="str">
        <f t="shared" si="25"/>
        <v>B</v>
      </c>
      <c r="AS25" s="59">
        <f t="shared" si="10"/>
        <v>6</v>
      </c>
      <c r="AT25" s="59">
        <f t="shared" si="11"/>
        <v>2</v>
      </c>
      <c r="AU25" s="59">
        <f t="shared" si="12"/>
        <v>1</v>
      </c>
      <c r="AV25" s="59">
        <f t="shared" si="13"/>
        <v>0</v>
      </c>
      <c r="AW25" s="59">
        <f t="shared" si="14"/>
        <v>0</v>
      </c>
    </row>
    <row r="26" spans="2:49" s="41" customFormat="1" ht="12" customHeight="1">
      <c r="B26" s="53">
        <v>18</v>
      </c>
      <c r="C26" s="61"/>
      <c r="D26" s="55" t="s">
        <v>59</v>
      </c>
      <c r="E26" s="56">
        <v>55</v>
      </c>
      <c r="F26" s="56">
        <v>43</v>
      </c>
      <c r="G26" s="56">
        <v>65</v>
      </c>
      <c r="H26" s="56">
        <v>78</v>
      </c>
      <c r="I26" s="56">
        <v>83</v>
      </c>
      <c r="J26" s="56">
        <v>69</v>
      </c>
      <c r="K26" s="56">
        <v>96</v>
      </c>
      <c r="L26" s="56">
        <v>55</v>
      </c>
      <c r="M26" s="56"/>
      <c r="N26" s="55"/>
      <c r="O26" s="55"/>
      <c r="P26" s="55"/>
      <c r="Q26" s="55"/>
      <c r="R26" s="55"/>
      <c r="S26" s="55"/>
      <c r="T26" s="55"/>
      <c r="U26" s="55"/>
      <c r="V26" s="55">
        <v>66</v>
      </c>
      <c r="W26" s="57">
        <f t="shared" si="0"/>
        <v>610</v>
      </c>
      <c r="X26" s="58">
        <f t="shared" si="15"/>
        <v>67.7777777777778</v>
      </c>
      <c r="Y26" s="57">
        <f t="shared" si="1"/>
        <v>24</v>
      </c>
      <c r="Z26" s="59"/>
      <c r="AA26" s="60" t="str">
        <f t="shared" si="2"/>
        <v>C</v>
      </c>
      <c r="AB26" s="60" t="str">
        <f t="shared" si="3"/>
        <v>S</v>
      </c>
      <c r="AC26" s="60" t="str">
        <f t="shared" si="4"/>
        <v>B</v>
      </c>
      <c r="AD26" s="60" t="str">
        <f t="shared" si="5"/>
        <v>A</v>
      </c>
      <c r="AE26" s="60" t="str">
        <f t="shared" si="6"/>
        <v>A</v>
      </c>
      <c r="AF26" s="60" t="str">
        <f t="shared" si="7"/>
        <v>B</v>
      </c>
      <c r="AG26" s="60" t="str">
        <f t="shared" si="8"/>
        <v>A</v>
      </c>
      <c r="AH26" s="60" t="str">
        <f t="shared" si="16"/>
        <v>C</v>
      </c>
      <c r="AI26" s="60" t="str">
        <f t="shared" si="17"/>
        <v>-</v>
      </c>
      <c r="AJ26" s="60" t="str">
        <f t="shared" si="18"/>
        <v>-</v>
      </c>
      <c r="AK26" s="60" t="str">
        <f t="shared" si="19"/>
        <v>-</v>
      </c>
      <c r="AL26" s="60" t="str">
        <f t="shared" si="26"/>
        <v>-</v>
      </c>
      <c r="AM26" s="60" t="str">
        <f t="shared" si="20"/>
        <v>-</v>
      </c>
      <c r="AN26" s="60" t="str">
        <f t="shared" si="21"/>
        <v>-</v>
      </c>
      <c r="AO26" s="60" t="str">
        <f t="shared" si="22"/>
        <v>-</v>
      </c>
      <c r="AP26" s="60" t="str">
        <f t="shared" si="23"/>
        <v>-</v>
      </c>
      <c r="AQ26" s="60" t="str">
        <f t="shared" si="24"/>
        <v>-</v>
      </c>
      <c r="AR26" s="60" t="str">
        <f t="shared" si="25"/>
        <v>B</v>
      </c>
      <c r="AS26" s="59">
        <f t="shared" si="10"/>
        <v>3</v>
      </c>
      <c r="AT26" s="59">
        <f t="shared" si="11"/>
        <v>3</v>
      </c>
      <c r="AU26" s="59">
        <f t="shared" si="12"/>
        <v>2</v>
      </c>
      <c r="AV26" s="59">
        <f t="shared" si="13"/>
        <v>1</v>
      </c>
      <c r="AW26" s="59">
        <f t="shared" si="14"/>
        <v>0</v>
      </c>
    </row>
    <row r="27" spans="2:49" s="41" customFormat="1" ht="12" customHeight="1">
      <c r="B27" s="53">
        <v>19</v>
      </c>
      <c r="C27" s="63"/>
      <c r="D27" s="55" t="s">
        <v>60</v>
      </c>
      <c r="E27" s="56">
        <v>76</v>
      </c>
      <c r="F27" s="56">
        <v>69</v>
      </c>
      <c r="G27" s="56">
        <v>76</v>
      </c>
      <c r="H27" s="56">
        <v>81</v>
      </c>
      <c r="I27" s="56">
        <v>84</v>
      </c>
      <c r="J27" s="56">
        <v>75</v>
      </c>
      <c r="K27" s="56">
        <v>92</v>
      </c>
      <c r="L27" s="55"/>
      <c r="M27" s="55"/>
      <c r="N27" s="55"/>
      <c r="O27" s="55"/>
      <c r="P27" s="55"/>
      <c r="Q27" s="55">
        <v>76</v>
      </c>
      <c r="R27" s="55"/>
      <c r="S27" s="55">
        <v>91</v>
      </c>
      <c r="T27" s="55"/>
      <c r="U27" s="55"/>
      <c r="V27" s="55"/>
      <c r="W27" s="57">
        <f t="shared" si="0"/>
        <v>720</v>
      </c>
      <c r="X27" s="58">
        <f t="shared" si="15"/>
        <v>80</v>
      </c>
      <c r="Y27" s="57">
        <f t="shared" si="1"/>
        <v>6</v>
      </c>
      <c r="Z27" s="59"/>
      <c r="AA27" s="60" t="str">
        <f t="shared" si="2"/>
        <v>A</v>
      </c>
      <c r="AB27" s="60" t="str">
        <f t="shared" si="3"/>
        <v>B</v>
      </c>
      <c r="AC27" s="60" t="str">
        <f t="shared" si="4"/>
        <v>A</v>
      </c>
      <c r="AD27" s="60" t="str">
        <f t="shared" si="5"/>
        <v>A</v>
      </c>
      <c r="AE27" s="60" t="str">
        <f t="shared" si="6"/>
        <v>A</v>
      </c>
      <c r="AF27" s="60" t="str">
        <f t="shared" si="7"/>
        <v>A</v>
      </c>
      <c r="AG27" s="60" t="str">
        <f t="shared" si="8"/>
        <v>A</v>
      </c>
      <c r="AH27" s="60" t="str">
        <f t="shared" si="16"/>
        <v>-</v>
      </c>
      <c r="AI27" s="60" t="str">
        <f t="shared" si="17"/>
        <v>-</v>
      </c>
      <c r="AJ27" s="60" t="str">
        <f t="shared" si="18"/>
        <v>-</v>
      </c>
      <c r="AK27" s="60" t="str">
        <f t="shared" si="19"/>
        <v>-</v>
      </c>
      <c r="AL27" s="60" t="str">
        <f t="shared" si="26"/>
        <v>-</v>
      </c>
      <c r="AM27" s="60" t="str">
        <f t="shared" si="20"/>
        <v>A</v>
      </c>
      <c r="AN27" s="60" t="str">
        <f t="shared" si="21"/>
        <v>-</v>
      </c>
      <c r="AO27" s="60" t="str">
        <f t="shared" si="22"/>
        <v>A</v>
      </c>
      <c r="AP27" s="60" t="str">
        <f t="shared" si="23"/>
        <v>-</v>
      </c>
      <c r="AQ27" s="60" t="str">
        <f t="shared" si="24"/>
        <v>-</v>
      </c>
      <c r="AR27" s="60" t="str">
        <f t="shared" si="25"/>
        <v>-</v>
      </c>
      <c r="AS27" s="59">
        <f t="shared" si="10"/>
        <v>8</v>
      </c>
      <c r="AT27" s="59">
        <f t="shared" si="11"/>
        <v>1</v>
      </c>
      <c r="AU27" s="59">
        <f t="shared" si="12"/>
        <v>0</v>
      </c>
      <c r="AV27" s="59">
        <f t="shared" si="13"/>
        <v>0</v>
      </c>
      <c r="AW27" s="59">
        <f t="shared" si="14"/>
        <v>0</v>
      </c>
    </row>
    <row r="28" spans="2:49" s="41" customFormat="1" ht="12" customHeight="1">
      <c r="B28" s="53">
        <v>20</v>
      </c>
      <c r="C28" s="54"/>
      <c r="D28" s="55" t="s">
        <v>61</v>
      </c>
      <c r="E28" s="56">
        <v>72</v>
      </c>
      <c r="F28" s="56">
        <v>75</v>
      </c>
      <c r="G28" s="56">
        <v>77</v>
      </c>
      <c r="H28" s="56">
        <v>64</v>
      </c>
      <c r="I28" s="56">
        <v>86</v>
      </c>
      <c r="J28" s="56">
        <v>69</v>
      </c>
      <c r="K28" s="56">
        <v>95</v>
      </c>
      <c r="L28" s="55"/>
      <c r="M28" s="55"/>
      <c r="N28" s="55"/>
      <c r="O28" s="55"/>
      <c r="P28" s="55"/>
      <c r="Q28" s="55">
        <v>75</v>
      </c>
      <c r="R28" s="55"/>
      <c r="S28" s="55">
        <v>95</v>
      </c>
      <c r="T28" s="55"/>
      <c r="U28" s="55"/>
      <c r="V28" s="55"/>
      <c r="W28" s="57">
        <f t="shared" si="0"/>
        <v>708</v>
      </c>
      <c r="X28" s="58">
        <f t="shared" si="15"/>
        <v>78.6666666666667</v>
      </c>
      <c r="Y28" s="57">
        <f t="shared" si="1"/>
        <v>9</v>
      </c>
      <c r="Z28" s="59"/>
      <c r="AA28" s="60" t="str">
        <f t="shared" si="2"/>
        <v>B</v>
      </c>
      <c r="AB28" s="60" t="str">
        <f t="shared" si="3"/>
        <v>A</v>
      </c>
      <c r="AC28" s="60" t="str">
        <f t="shared" si="4"/>
        <v>A</v>
      </c>
      <c r="AD28" s="60" t="str">
        <f t="shared" si="5"/>
        <v>C</v>
      </c>
      <c r="AE28" s="60" t="str">
        <f t="shared" si="6"/>
        <v>A</v>
      </c>
      <c r="AF28" s="60" t="str">
        <f t="shared" si="7"/>
        <v>B</v>
      </c>
      <c r="AG28" s="60" t="str">
        <f t="shared" si="8"/>
        <v>A</v>
      </c>
      <c r="AH28" s="60" t="str">
        <f t="shared" si="16"/>
        <v>-</v>
      </c>
      <c r="AI28" s="60" t="str">
        <f t="shared" si="17"/>
        <v>-</v>
      </c>
      <c r="AJ28" s="60" t="str">
        <f t="shared" si="18"/>
        <v>-</v>
      </c>
      <c r="AK28" s="60" t="str">
        <f t="shared" si="19"/>
        <v>-</v>
      </c>
      <c r="AL28" s="60" t="str">
        <f t="shared" si="26"/>
        <v>-</v>
      </c>
      <c r="AM28" s="60" t="str">
        <f t="shared" si="20"/>
        <v>A</v>
      </c>
      <c r="AN28" s="60" t="str">
        <f t="shared" si="21"/>
        <v>-</v>
      </c>
      <c r="AO28" s="60" t="str">
        <f t="shared" si="22"/>
        <v>A</v>
      </c>
      <c r="AP28" s="60" t="str">
        <f t="shared" si="23"/>
        <v>-</v>
      </c>
      <c r="AQ28" s="60" t="str">
        <f t="shared" si="24"/>
        <v>-</v>
      </c>
      <c r="AR28" s="60" t="str">
        <f t="shared" si="25"/>
        <v>-</v>
      </c>
      <c r="AS28" s="59">
        <f t="shared" si="10"/>
        <v>6</v>
      </c>
      <c r="AT28" s="59">
        <f t="shared" si="11"/>
        <v>2</v>
      </c>
      <c r="AU28" s="59">
        <f t="shared" si="12"/>
        <v>1</v>
      </c>
      <c r="AV28" s="59">
        <f t="shared" si="13"/>
        <v>0</v>
      </c>
      <c r="AW28" s="59">
        <f t="shared" si="14"/>
        <v>0</v>
      </c>
    </row>
    <row r="29" spans="2:49" s="41" customFormat="1" ht="12" customHeight="1">
      <c r="B29" s="53">
        <v>21</v>
      </c>
      <c r="C29" s="54"/>
      <c r="D29" s="55" t="s">
        <v>62</v>
      </c>
      <c r="E29" s="56">
        <v>71</v>
      </c>
      <c r="F29" s="56">
        <v>65</v>
      </c>
      <c r="G29" s="56">
        <v>71</v>
      </c>
      <c r="H29" s="56">
        <v>67</v>
      </c>
      <c r="I29" s="56">
        <v>80</v>
      </c>
      <c r="J29" s="56">
        <v>67</v>
      </c>
      <c r="K29" s="56">
        <v>90</v>
      </c>
      <c r="L29" s="55"/>
      <c r="M29" s="55"/>
      <c r="N29" s="55"/>
      <c r="O29" s="55"/>
      <c r="P29" s="55"/>
      <c r="Q29" s="55">
        <v>68</v>
      </c>
      <c r="R29" s="55">
        <v>78</v>
      </c>
      <c r="S29" s="55"/>
      <c r="T29" s="55"/>
      <c r="U29" s="55"/>
      <c r="V29" s="55"/>
      <c r="W29" s="57">
        <f t="shared" si="0"/>
        <v>657</v>
      </c>
      <c r="X29" s="58">
        <f t="shared" si="15"/>
        <v>73</v>
      </c>
      <c r="Y29" s="57">
        <f t="shared" si="1"/>
        <v>20</v>
      </c>
      <c r="Z29" s="59"/>
      <c r="AA29" s="60" t="str">
        <f t="shared" si="2"/>
        <v>B</v>
      </c>
      <c r="AB29" s="60" t="str">
        <f t="shared" si="3"/>
        <v>B</v>
      </c>
      <c r="AC29" s="60" t="str">
        <f t="shared" si="4"/>
        <v>B</v>
      </c>
      <c r="AD29" s="60" t="str">
        <f t="shared" si="5"/>
        <v>B</v>
      </c>
      <c r="AE29" s="60" t="str">
        <f t="shared" si="6"/>
        <v>A</v>
      </c>
      <c r="AF29" s="60" t="str">
        <f t="shared" si="7"/>
        <v>B</v>
      </c>
      <c r="AG29" s="60" t="str">
        <f t="shared" si="8"/>
        <v>A</v>
      </c>
      <c r="AH29" s="60" t="str">
        <f t="shared" si="16"/>
        <v>-</v>
      </c>
      <c r="AI29" s="60" t="str">
        <f t="shared" si="17"/>
        <v>-</v>
      </c>
      <c r="AJ29" s="60" t="str">
        <f t="shared" si="18"/>
        <v>-</v>
      </c>
      <c r="AK29" s="60" t="str">
        <f t="shared" si="19"/>
        <v>-</v>
      </c>
      <c r="AL29" s="60" t="str">
        <f t="shared" si="26"/>
        <v>-</v>
      </c>
      <c r="AM29" s="60" t="str">
        <f t="shared" si="20"/>
        <v>B</v>
      </c>
      <c r="AN29" s="60" t="str">
        <f t="shared" si="21"/>
        <v>A</v>
      </c>
      <c r="AO29" s="60" t="str">
        <f t="shared" si="22"/>
        <v>-</v>
      </c>
      <c r="AP29" s="60" t="str">
        <f t="shared" si="23"/>
        <v>-</v>
      </c>
      <c r="AQ29" s="60" t="str">
        <f t="shared" si="24"/>
        <v>-</v>
      </c>
      <c r="AR29" s="60" t="str">
        <f t="shared" si="25"/>
        <v>-</v>
      </c>
      <c r="AS29" s="59">
        <f t="shared" si="10"/>
        <v>3</v>
      </c>
      <c r="AT29" s="59">
        <f t="shared" si="11"/>
        <v>6</v>
      </c>
      <c r="AU29" s="59">
        <f t="shared" si="12"/>
        <v>0</v>
      </c>
      <c r="AV29" s="59">
        <f t="shared" si="13"/>
        <v>0</v>
      </c>
      <c r="AW29" s="59">
        <f t="shared" si="14"/>
        <v>0</v>
      </c>
    </row>
    <row r="30" spans="2:49" s="41" customFormat="1" ht="12" customHeight="1">
      <c r="B30" s="53">
        <v>22</v>
      </c>
      <c r="C30" s="54"/>
      <c r="D30" s="55" t="s">
        <v>63</v>
      </c>
      <c r="E30" s="56">
        <v>65</v>
      </c>
      <c r="F30" s="56">
        <v>63</v>
      </c>
      <c r="G30" s="56">
        <v>65</v>
      </c>
      <c r="H30" s="56">
        <v>70</v>
      </c>
      <c r="I30" s="56">
        <v>76</v>
      </c>
      <c r="J30" s="56">
        <v>54</v>
      </c>
      <c r="K30" s="56">
        <v>80</v>
      </c>
      <c r="L30" s="55"/>
      <c r="M30" s="55"/>
      <c r="N30" s="55"/>
      <c r="O30" s="55"/>
      <c r="P30" s="55"/>
      <c r="Q30" s="55">
        <v>78</v>
      </c>
      <c r="R30" s="55"/>
      <c r="S30" s="55">
        <v>88</v>
      </c>
      <c r="T30" s="55"/>
      <c r="U30" s="55"/>
      <c r="V30" s="55"/>
      <c r="W30" s="57">
        <f t="shared" si="0"/>
        <v>639</v>
      </c>
      <c r="X30" s="58">
        <f t="shared" si="15"/>
        <v>71</v>
      </c>
      <c r="Y30" s="57">
        <f t="shared" si="1"/>
        <v>22</v>
      </c>
      <c r="Z30" s="59"/>
      <c r="AA30" s="60" t="str">
        <f t="shared" si="2"/>
        <v>B</v>
      </c>
      <c r="AB30" s="60" t="str">
        <f t="shared" si="3"/>
        <v>C</v>
      </c>
      <c r="AC30" s="60" t="str">
        <f t="shared" si="4"/>
        <v>B</v>
      </c>
      <c r="AD30" s="60" t="str">
        <f t="shared" si="5"/>
        <v>B</v>
      </c>
      <c r="AE30" s="60" t="str">
        <f t="shared" si="6"/>
        <v>A</v>
      </c>
      <c r="AF30" s="60" t="str">
        <f t="shared" si="7"/>
        <v>S</v>
      </c>
      <c r="AG30" s="60" t="str">
        <f t="shared" si="8"/>
        <v>A</v>
      </c>
      <c r="AH30" s="60" t="str">
        <f t="shared" si="16"/>
        <v>-</v>
      </c>
      <c r="AI30" s="60" t="str">
        <f t="shared" si="17"/>
        <v>-</v>
      </c>
      <c r="AJ30" s="60" t="str">
        <f t="shared" si="18"/>
        <v>-</v>
      </c>
      <c r="AK30" s="60" t="str">
        <f t="shared" si="19"/>
        <v>-</v>
      </c>
      <c r="AL30" s="60" t="str">
        <f t="shared" si="26"/>
        <v>-</v>
      </c>
      <c r="AM30" s="60" t="str">
        <f t="shared" si="20"/>
        <v>A</v>
      </c>
      <c r="AN30" s="60" t="str">
        <f t="shared" si="21"/>
        <v>-</v>
      </c>
      <c r="AO30" s="60" t="str">
        <f t="shared" si="22"/>
        <v>A</v>
      </c>
      <c r="AP30" s="60" t="str">
        <f t="shared" si="23"/>
        <v>-</v>
      </c>
      <c r="AQ30" s="60" t="str">
        <f t="shared" si="24"/>
        <v>-</v>
      </c>
      <c r="AR30" s="60" t="str">
        <f t="shared" si="25"/>
        <v>-</v>
      </c>
      <c r="AS30" s="59">
        <f t="shared" si="10"/>
        <v>4</v>
      </c>
      <c r="AT30" s="59">
        <f t="shared" si="11"/>
        <v>3</v>
      </c>
      <c r="AU30" s="59">
        <f t="shared" si="12"/>
        <v>1</v>
      </c>
      <c r="AV30" s="59">
        <f t="shared" si="13"/>
        <v>1</v>
      </c>
      <c r="AW30" s="59">
        <f t="shared" si="14"/>
        <v>0</v>
      </c>
    </row>
    <row r="31" spans="2:49" s="41" customFormat="1" ht="12" customHeight="1">
      <c r="B31" s="53">
        <v>23</v>
      </c>
      <c r="C31" s="54"/>
      <c r="D31" s="55" t="s">
        <v>64</v>
      </c>
      <c r="E31" s="56" t="s">
        <v>52</v>
      </c>
      <c r="F31" s="56">
        <v>58</v>
      </c>
      <c r="G31" s="56">
        <v>66</v>
      </c>
      <c r="H31" s="56" t="s">
        <v>52</v>
      </c>
      <c r="I31" s="56">
        <v>77</v>
      </c>
      <c r="J31" s="56">
        <v>63</v>
      </c>
      <c r="K31" s="56">
        <v>97</v>
      </c>
      <c r="L31" s="55">
        <v>66</v>
      </c>
      <c r="M31" s="55"/>
      <c r="N31" s="55"/>
      <c r="O31" s="55"/>
      <c r="P31" s="55"/>
      <c r="Q31" s="55"/>
      <c r="R31" s="55"/>
      <c r="S31" s="55"/>
      <c r="T31" s="55"/>
      <c r="U31" s="55"/>
      <c r="V31" s="55">
        <v>32</v>
      </c>
      <c r="W31" s="57">
        <f t="shared" si="0"/>
        <v>459</v>
      </c>
      <c r="X31" s="58">
        <f t="shared" si="15"/>
        <v>51</v>
      </c>
      <c r="Y31" s="57">
        <f t="shared" si="1"/>
        <v>33</v>
      </c>
      <c r="Z31" s="59"/>
      <c r="AA31" s="60" t="str">
        <f t="shared" si="2"/>
        <v>AB</v>
      </c>
      <c r="AB31" s="60" t="str">
        <f t="shared" si="3"/>
        <v>C</v>
      </c>
      <c r="AC31" s="60" t="str">
        <f t="shared" si="4"/>
        <v>B</v>
      </c>
      <c r="AD31" s="60" t="str">
        <f t="shared" si="5"/>
        <v>AB</v>
      </c>
      <c r="AE31" s="60" t="str">
        <f t="shared" si="6"/>
        <v>A</v>
      </c>
      <c r="AF31" s="60" t="str">
        <f t="shared" si="7"/>
        <v>C</v>
      </c>
      <c r="AG31" s="60" t="str">
        <f t="shared" si="8"/>
        <v>A</v>
      </c>
      <c r="AH31" s="60" t="str">
        <f t="shared" si="16"/>
        <v>B</v>
      </c>
      <c r="AI31" s="60" t="str">
        <f t="shared" si="17"/>
        <v>-</v>
      </c>
      <c r="AJ31" s="60" t="str">
        <f t="shared" si="18"/>
        <v>-</v>
      </c>
      <c r="AK31" s="60" t="str">
        <f t="shared" si="19"/>
        <v>-</v>
      </c>
      <c r="AL31" s="60" t="str">
        <f t="shared" si="26"/>
        <v>-</v>
      </c>
      <c r="AM31" s="60" t="str">
        <f t="shared" si="20"/>
        <v>-</v>
      </c>
      <c r="AN31" s="60" t="str">
        <f t="shared" si="21"/>
        <v>-</v>
      </c>
      <c r="AO31" s="60" t="str">
        <f t="shared" si="22"/>
        <v>-</v>
      </c>
      <c r="AP31" s="60" t="str">
        <f t="shared" si="23"/>
        <v>-</v>
      </c>
      <c r="AQ31" s="60" t="str">
        <f t="shared" si="24"/>
        <v>-</v>
      </c>
      <c r="AR31" s="60" t="str">
        <f t="shared" si="25"/>
        <v>F</v>
      </c>
      <c r="AS31" s="59">
        <f t="shared" si="10"/>
        <v>2</v>
      </c>
      <c r="AT31" s="59">
        <f t="shared" si="11"/>
        <v>2</v>
      </c>
      <c r="AU31" s="59">
        <f t="shared" si="12"/>
        <v>2</v>
      </c>
      <c r="AV31" s="59">
        <f t="shared" si="13"/>
        <v>0</v>
      </c>
      <c r="AW31" s="59">
        <f t="shared" si="14"/>
        <v>1</v>
      </c>
    </row>
    <row r="32" spans="2:49" s="41" customFormat="1" ht="12" customHeight="1">
      <c r="B32" s="53">
        <v>24</v>
      </c>
      <c r="C32" s="54"/>
      <c r="D32" s="55" t="s">
        <v>65</v>
      </c>
      <c r="E32" s="56">
        <v>66</v>
      </c>
      <c r="F32" s="56">
        <v>69</v>
      </c>
      <c r="G32" s="56">
        <v>50</v>
      </c>
      <c r="H32" s="56">
        <v>65</v>
      </c>
      <c r="I32" s="56">
        <v>77</v>
      </c>
      <c r="J32" s="56">
        <v>55</v>
      </c>
      <c r="K32" s="56">
        <v>97</v>
      </c>
      <c r="L32" s="55"/>
      <c r="M32" s="55"/>
      <c r="N32" s="55"/>
      <c r="O32" s="55"/>
      <c r="P32" s="55"/>
      <c r="Q32" s="55">
        <v>79</v>
      </c>
      <c r="R32" s="55"/>
      <c r="S32" s="55"/>
      <c r="T32" s="55"/>
      <c r="U32" s="55">
        <v>76</v>
      </c>
      <c r="V32" s="55"/>
      <c r="W32" s="57">
        <f t="shared" si="0"/>
        <v>634</v>
      </c>
      <c r="X32" s="58">
        <f t="shared" si="15"/>
        <v>70.4444444444444</v>
      </c>
      <c r="Y32" s="57">
        <f t="shared" si="1"/>
        <v>23</v>
      </c>
      <c r="Z32" s="59"/>
      <c r="AA32" s="60" t="str">
        <f t="shared" si="2"/>
        <v>B</v>
      </c>
      <c r="AB32" s="60" t="str">
        <f t="shared" si="3"/>
        <v>B</v>
      </c>
      <c r="AC32" s="60" t="str">
        <f t="shared" si="4"/>
        <v>S</v>
      </c>
      <c r="AD32" s="60" t="str">
        <f t="shared" si="5"/>
        <v>B</v>
      </c>
      <c r="AE32" s="60" t="str">
        <f t="shared" si="6"/>
        <v>A</v>
      </c>
      <c r="AF32" s="60" t="str">
        <f t="shared" si="7"/>
        <v>C</v>
      </c>
      <c r="AG32" s="60" t="str">
        <f t="shared" si="8"/>
        <v>A</v>
      </c>
      <c r="AH32" s="60" t="str">
        <f t="shared" si="16"/>
        <v>-</v>
      </c>
      <c r="AI32" s="60" t="str">
        <f t="shared" si="17"/>
        <v>-</v>
      </c>
      <c r="AJ32" s="60" t="str">
        <f t="shared" si="18"/>
        <v>-</v>
      </c>
      <c r="AK32" s="60" t="str">
        <f t="shared" si="19"/>
        <v>-</v>
      </c>
      <c r="AL32" s="60" t="str">
        <f t="shared" si="26"/>
        <v>-</v>
      </c>
      <c r="AM32" s="60" t="str">
        <f t="shared" si="20"/>
        <v>A</v>
      </c>
      <c r="AN32" s="60" t="str">
        <f t="shared" si="21"/>
        <v>-</v>
      </c>
      <c r="AO32" s="60" t="str">
        <f t="shared" si="22"/>
        <v>-</v>
      </c>
      <c r="AP32" s="60" t="str">
        <f t="shared" si="23"/>
        <v>-</v>
      </c>
      <c r="AQ32" s="60" t="str">
        <f t="shared" si="24"/>
        <v>A</v>
      </c>
      <c r="AR32" s="60" t="str">
        <f t="shared" si="25"/>
        <v>-</v>
      </c>
      <c r="AS32" s="59">
        <f t="shared" si="10"/>
        <v>4</v>
      </c>
      <c r="AT32" s="59">
        <f t="shared" si="11"/>
        <v>3</v>
      </c>
      <c r="AU32" s="59">
        <f t="shared" si="12"/>
        <v>1</v>
      </c>
      <c r="AV32" s="59">
        <f t="shared" si="13"/>
        <v>1</v>
      </c>
      <c r="AW32" s="59">
        <f t="shared" si="14"/>
        <v>0</v>
      </c>
    </row>
    <row r="33" spans="1:49" s="41" customFormat="1" ht="12" customHeight="1">
      <c r="B33" s="53">
        <v>25</v>
      </c>
      <c r="C33" s="61"/>
      <c r="D33" s="55" t="s">
        <v>66</v>
      </c>
      <c r="E33" s="56">
        <v>68</v>
      </c>
      <c r="F33" s="56">
        <v>76</v>
      </c>
      <c r="G33" s="56">
        <v>80</v>
      </c>
      <c r="H33" s="56">
        <v>57</v>
      </c>
      <c r="I33" s="56">
        <v>81</v>
      </c>
      <c r="J33" s="56">
        <v>69</v>
      </c>
      <c r="K33" s="56">
        <v>91</v>
      </c>
      <c r="L33" s="56"/>
      <c r="M33" s="56"/>
      <c r="N33" s="55"/>
      <c r="O33" s="55"/>
      <c r="P33" s="55"/>
      <c r="Q33" s="55">
        <v>71</v>
      </c>
      <c r="R33" s="55"/>
      <c r="S33" s="55">
        <v>91</v>
      </c>
      <c r="T33" s="55"/>
      <c r="U33" s="55"/>
      <c r="V33" s="55"/>
      <c r="W33" s="57">
        <f t="shared" si="0"/>
        <v>684</v>
      </c>
      <c r="X33" s="58">
        <f t="shared" si="15"/>
        <v>76</v>
      </c>
      <c r="Y33" s="57">
        <f t="shared" si="1"/>
        <v>17</v>
      </c>
      <c r="Z33" s="59"/>
      <c r="AA33" s="60" t="str">
        <f t="shared" si="2"/>
        <v>B</v>
      </c>
      <c r="AB33" s="60" t="str">
        <f t="shared" si="3"/>
        <v>A</v>
      </c>
      <c r="AC33" s="60" t="str">
        <f t="shared" si="4"/>
        <v>A</v>
      </c>
      <c r="AD33" s="60" t="str">
        <f t="shared" si="5"/>
        <v>C</v>
      </c>
      <c r="AE33" s="60" t="str">
        <f t="shared" si="6"/>
        <v>A</v>
      </c>
      <c r="AF33" s="60" t="str">
        <f t="shared" si="7"/>
        <v>B</v>
      </c>
      <c r="AG33" s="60" t="str">
        <f t="shared" si="8"/>
        <v>A</v>
      </c>
      <c r="AH33" s="60" t="str">
        <f t="shared" si="16"/>
        <v>-</v>
      </c>
      <c r="AI33" s="60" t="str">
        <f t="shared" si="17"/>
        <v>-</v>
      </c>
      <c r="AJ33" s="60" t="str">
        <f t="shared" si="18"/>
        <v>-</v>
      </c>
      <c r="AK33" s="60" t="str">
        <f t="shared" si="19"/>
        <v>-</v>
      </c>
      <c r="AL33" s="60" t="str">
        <f t="shared" si="26"/>
        <v>-</v>
      </c>
      <c r="AM33" s="60" t="str">
        <f t="shared" si="20"/>
        <v>B</v>
      </c>
      <c r="AN33" s="60" t="str">
        <f t="shared" si="21"/>
        <v>-</v>
      </c>
      <c r="AO33" s="60" t="str">
        <f t="shared" si="22"/>
        <v>A</v>
      </c>
      <c r="AP33" s="60" t="str">
        <f t="shared" si="23"/>
        <v>-</v>
      </c>
      <c r="AQ33" s="60" t="str">
        <f t="shared" si="24"/>
        <v>-</v>
      </c>
      <c r="AR33" s="60" t="str">
        <f t="shared" si="25"/>
        <v>-</v>
      </c>
      <c r="AS33" s="59">
        <f t="shared" si="10"/>
        <v>5</v>
      </c>
      <c r="AT33" s="59">
        <f t="shared" si="11"/>
        <v>3</v>
      </c>
      <c r="AU33" s="59">
        <f t="shared" si="12"/>
        <v>1</v>
      </c>
      <c r="AV33" s="59">
        <f t="shared" si="13"/>
        <v>0</v>
      </c>
      <c r="AW33" s="59">
        <f t="shared" si="14"/>
        <v>0</v>
      </c>
    </row>
    <row r="34" spans="1:49" s="41" customFormat="1" ht="12" customHeight="1">
      <c r="B34" s="53">
        <v>26</v>
      </c>
      <c r="C34" s="54"/>
      <c r="D34" s="55" t="s">
        <v>67</v>
      </c>
      <c r="E34" s="56">
        <v>63</v>
      </c>
      <c r="F34" s="56">
        <v>64</v>
      </c>
      <c r="G34" s="56">
        <v>84</v>
      </c>
      <c r="H34" s="56">
        <v>52</v>
      </c>
      <c r="I34" s="56">
        <v>74</v>
      </c>
      <c r="J34" s="56">
        <v>60</v>
      </c>
      <c r="K34" s="56">
        <v>90</v>
      </c>
      <c r="L34" s="55"/>
      <c r="M34" s="55"/>
      <c r="N34" s="55"/>
      <c r="O34" s="55">
        <v>82</v>
      </c>
      <c r="P34" s="55"/>
      <c r="Q34" s="55"/>
      <c r="R34" s="55"/>
      <c r="S34" s="55">
        <v>91</v>
      </c>
      <c r="T34" s="55"/>
      <c r="U34" s="55"/>
      <c r="V34" s="55"/>
      <c r="W34" s="57">
        <f t="shared" si="0"/>
        <v>660</v>
      </c>
      <c r="X34" s="58">
        <f t="shared" si="15"/>
        <v>73.3333333333333</v>
      </c>
      <c r="Y34" s="57">
        <f t="shared" si="1"/>
        <v>19</v>
      </c>
      <c r="Z34" s="59"/>
      <c r="AA34" s="60" t="str">
        <f t="shared" si="2"/>
        <v>C</v>
      </c>
      <c r="AB34" s="60" t="str">
        <f t="shared" si="3"/>
        <v>C</v>
      </c>
      <c r="AC34" s="60" t="str">
        <f t="shared" si="4"/>
        <v>A</v>
      </c>
      <c r="AD34" s="60" t="str">
        <f t="shared" si="5"/>
        <v>S</v>
      </c>
      <c r="AE34" s="60" t="str">
        <f t="shared" si="6"/>
        <v>B</v>
      </c>
      <c r="AF34" s="60" t="str">
        <f t="shared" si="7"/>
        <v>C</v>
      </c>
      <c r="AG34" s="60" t="str">
        <f t="shared" si="8"/>
        <v>A</v>
      </c>
      <c r="AH34" s="60" t="str">
        <f t="shared" si="16"/>
        <v>-</v>
      </c>
      <c r="AI34" s="60" t="str">
        <f t="shared" si="17"/>
        <v>-</v>
      </c>
      <c r="AJ34" s="60" t="str">
        <f t="shared" si="18"/>
        <v>-</v>
      </c>
      <c r="AK34" s="60" t="str">
        <f t="shared" si="19"/>
        <v>A</v>
      </c>
      <c r="AL34" s="60" t="str">
        <f t="shared" si="26"/>
        <v>-</v>
      </c>
      <c r="AM34" s="60" t="str">
        <f t="shared" si="20"/>
        <v>-</v>
      </c>
      <c r="AN34" s="60" t="str">
        <f t="shared" si="21"/>
        <v>-</v>
      </c>
      <c r="AO34" s="60" t="str">
        <f t="shared" si="22"/>
        <v>A</v>
      </c>
      <c r="AP34" s="60" t="str">
        <f t="shared" si="23"/>
        <v>-</v>
      </c>
      <c r="AQ34" s="60" t="str">
        <f t="shared" si="24"/>
        <v>-</v>
      </c>
      <c r="AR34" s="60" t="str">
        <f t="shared" si="25"/>
        <v>-</v>
      </c>
      <c r="AS34" s="59">
        <f t="shared" si="10"/>
        <v>4</v>
      </c>
      <c r="AT34" s="59">
        <f t="shared" si="11"/>
        <v>1</v>
      </c>
      <c r="AU34" s="59">
        <f t="shared" si="12"/>
        <v>3</v>
      </c>
      <c r="AV34" s="59">
        <f t="shared" si="13"/>
        <v>1</v>
      </c>
      <c r="AW34" s="59">
        <f t="shared" si="14"/>
        <v>0</v>
      </c>
    </row>
    <row r="35" spans="1:49" s="41" customFormat="1" ht="12" customHeight="1">
      <c r="B35" s="53">
        <v>27</v>
      </c>
      <c r="C35" s="54"/>
      <c r="D35" s="55" t="s">
        <v>68</v>
      </c>
      <c r="E35" s="56">
        <v>91</v>
      </c>
      <c r="F35" s="56">
        <v>98</v>
      </c>
      <c r="G35" s="56">
        <v>100</v>
      </c>
      <c r="H35" s="56">
        <v>97</v>
      </c>
      <c r="I35" s="56">
        <v>86</v>
      </c>
      <c r="J35" s="56">
        <v>87</v>
      </c>
      <c r="K35" s="56">
        <v>98</v>
      </c>
      <c r="L35" s="55">
        <v>95</v>
      </c>
      <c r="M35" s="55"/>
      <c r="N35" s="55"/>
      <c r="O35" s="55"/>
      <c r="P35" s="55"/>
      <c r="Q35" s="55"/>
      <c r="R35" s="55"/>
      <c r="S35" s="55"/>
      <c r="T35" s="55"/>
      <c r="U35" s="55"/>
      <c r="V35" s="55">
        <v>84</v>
      </c>
      <c r="W35" s="57">
        <f t="shared" si="0"/>
        <v>836</v>
      </c>
      <c r="X35" s="58">
        <f t="shared" si="15"/>
        <v>92.8888888888889</v>
      </c>
      <c r="Y35" s="57">
        <f t="shared" si="1"/>
        <v>1</v>
      </c>
      <c r="Z35" s="59"/>
      <c r="AA35" s="60" t="str">
        <f t="shared" si="2"/>
        <v>A</v>
      </c>
      <c r="AB35" s="60" t="str">
        <f t="shared" si="3"/>
        <v>A</v>
      </c>
      <c r="AC35" s="60" t="str">
        <f t="shared" si="4"/>
        <v>A</v>
      </c>
      <c r="AD35" s="60" t="str">
        <f t="shared" si="5"/>
        <v>A</v>
      </c>
      <c r="AE35" s="60" t="str">
        <f t="shared" si="6"/>
        <v>A</v>
      </c>
      <c r="AF35" s="60" t="str">
        <f t="shared" si="7"/>
        <v>A</v>
      </c>
      <c r="AG35" s="60" t="str">
        <f t="shared" si="8"/>
        <v>A</v>
      </c>
      <c r="AH35" s="60" t="str">
        <f t="shared" si="16"/>
        <v>A</v>
      </c>
      <c r="AI35" s="60" t="str">
        <f t="shared" si="17"/>
        <v>-</v>
      </c>
      <c r="AJ35" s="60" t="str">
        <f t="shared" si="18"/>
        <v>-</v>
      </c>
      <c r="AK35" s="60" t="str">
        <f t="shared" si="19"/>
        <v>-</v>
      </c>
      <c r="AL35" s="60" t="str">
        <f t="shared" si="26"/>
        <v>-</v>
      </c>
      <c r="AM35" s="60" t="str">
        <f t="shared" si="20"/>
        <v>-</v>
      </c>
      <c r="AN35" s="60" t="str">
        <f t="shared" si="21"/>
        <v>-</v>
      </c>
      <c r="AO35" s="60" t="str">
        <f t="shared" si="22"/>
        <v>-</v>
      </c>
      <c r="AP35" s="60" t="str">
        <f t="shared" si="23"/>
        <v>-</v>
      </c>
      <c r="AQ35" s="60" t="str">
        <f t="shared" si="24"/>
        <v>-</v>
      </c>
      <c r="AR35" s="60" t="str">
        <f t="shared" si="25"/>
        <v>A</v>
      </c>
      <c r="AS35" s="59">
        <f t="shared" si="10"/>
        <v>9</v>
      </c>
      <c r="AT35" s="59">
        <f t="shared" si="11"/>
        <v>0</v>
      </c>
      <c r="AU35" s="59">
        <f t="shared" si="12"/>
        <v>0</v>
      </c>
      <c r="AV35" s="59">
        <f t="shared" si="13"/>
        <v>0</v>
      </c>
      <c r="AW35" s="59">
        <f t="shared" si="14"/>
        <v>0</v>
      </c>
    </row>
    <row r="36" spans="1:49" s="41" customFormat="1" ht="12" customHeight="1">
      <c r="A36" s="67"/>
      <c r="B36" s="53">
        <v>28</v>
      </c>
      <c r="C36" s="54"/>
      <c r="D36" s="55" t="s">
        <v>69</v>
      </c>
      <c r="E36" s="56">
        <v>80</v>
      </c>
      <c r="F36" s="56">
        <v>77</v>
      </c>
      <c r="G36" s="56">
        <v>46</v>
      </c>
      <c r="H36" s="56">
        <v>80</v>
      </c>
      <c r="I36" s="56">
        <v>76</v>
      </c>
      <c r="J36" s="56">
        <v>67</v>
      </c>
      <c r="K36" s="56">
        <v>80</v>
      </c>
      <c r="L36" s="55"/>
      <c r="M36" s="55"/>
      <c r="N36" s="55"/>
      <c r="O36" s="55">
        <v>76</v>
      </c>
      <c r="P36" s="55"/>
      <c r="Q36" s="55"/>
      <c r="R36" s="55"/>
      <c r="S36" s="55"/>
      <c r="T36" s="55"/>
      <c r="U36" s="55">
        <v>84</v>
      </c>
      <c r="V36" s="55"/>
      <c r="W36" s="57">
        <f t="shared" si="0"/>
        <v>666</v>
      </c>
      <c r="X36" s="58">
        <f t="shared" si="15"/>
        <v>74</v>
      </c>
      <c r="Y36" s="57">
        <f t="shared" si="1"/>
        <v>18</v>
      </c>
      <c r="Z36" s="59"/>
      <c r="AA36" s="60" t="str">
        <f t="shared" si="2"/>
        <v>A</v>
      </c>
      <c r="AB36" s="60" t="str">
        <f t="shared" si="3"/>
        <v>A</v>
      </c>
      <c r="AC36" s="60" t="str">
        <f t="shared" si="4"/>
        <v>S</v>
      </c>
      <c r="AD36" s="60" t="str">
        <f t="shared" si="5"/>
        <v>A</v>
      </c>
      <c r="AE36" s="60" t="str">
        <f t="shared" si="6"/>
        <v>A</v>
      </c>
      <c r="AF36" s="60" t="str">
        <f t="shared" si="7"/>
        <v>B</v>
      </c>
      <c r="AG36" s="60" t="str">
        <f t="shared" si="8"/>
        <v>A</v>
      </c>
      <c r="AH36" s="60" t="str">
        <f t="shared" si="16"/>
        <v>-</v>
      </c>
      <c r="AI36" s="60" t="str">
        <f t="shared" si="17"/>
        <v>-</v>
      </c>
      <c r="AJ36" s="60" t="str">
        <f t="shared" si="18"/>
        <v>-</v>
      </c>
      <c r="AK36" s="60" t="str">
        <f t="shared" si="19"/>
        <v>A</v>
      </c>
      <c r="AL36" s="60" t="str">
        <f t="shared" si="26"/>
        <v>-</v>
      </c>
      <c r="AM36" s="60" t="str">
        <f t="shared" si="20"/>
        <v>-</v>
      </c>
      <c r="AN36" s="60" t="str">
        <f t="shared" si="21"/>
        <v>-</v>
      </c>
      <c r="AO36" s="60" t="str">
        <f t="shared" si="22"/>
        <v>-</v>
      </c>
      <c r="AP36" s="60" t="str">
        <f t="shared" si="23"/>
        <v>-</v>
      </c>
      <c r="AQ36" s="60" t="str">
        <f t="shared" si="24"/>
        <v>A</v>
      </c>
      <c r="AR36" s="60" t="str">
        <f t="shared" si="25"/>
        <v>-</v>
      </c>
      <c r="AS36" s="59">
        <f t="shared" si="10"/>
        <v>7</v>
      </c>
      <c r="AT36" s="59">
        <f t="shared" si="11"/>
        <v>1</v>
      </c>
      <c r="AU36" s="59">
        <f t="shared" si="12"/>
        <v>0</v>
      </c>
      <c r="AV36" s="59">
        <f t="shared" si="13"/>
        <v>1</v>
      </c>
      <c r="AW36" s="59">
        <f t="shared" si="14"/>
        <v>0</v>
      </c>
    </row>
    <row r="37" spans="1:49" s="41" customFormat="1" ht="12" customHeight="1">
      <c r="A37" s="67"/>
      <c r="B37" s="53">
        <v>29</v>
      </c>
      <c r="C37" s="54"/>
      <c r="D37" s="55" t="s">
        <v>70</v>
      </c>
      <c r="E37" s="56">
        <v>68</v>
      </c>
      <c r="F37" s="68">
        <v>60</v>
      </c>
      <c r="G37" s="68">
        <v>63</v>
      </c>
      <c r="H37" s="68">
        <v>44</v>
      </c>
      <c r="I37" s="68">
        <v>68</v>
      </c>
      <c r="J37" s="68">
        <v>38</v>
      </c>
      <c r="K37" s="68">
        <v>85</v>
      </c>
      <c r="L37" s="69"/>
      <c r="M37" s="69"/>
      <c r="N37" s="69"/>
      <c r="O37" s="69"/>
      <c r="P37" s="69">
        <v>84</v>
      </c>
      <c r="Q37" s="69"/>
      <c r="R37" s="69"/>
      <c r="S37" s="69">
        <v>77</v>
      </c>
      <c r="T37" s="69"/>
      <c r="U37" s="69"/>
      <c r="V37" s="69"/>
      <c r="W37" s="57">
        <f t="shared" si="0"/>
        <v>587</v>
      </c>
      <c r="X37" s="58">
        <f t="shared" si="15"/>
        <v>65.2222222222222</v>
      </c>
      <c r="Y37" s="57">
        <f t="shared" si="1"/>
        <v>25</v>
      </c>
      <c r="Z37" s="70"/>
      <c r="AA37" s="71" t="str">
        <f t="shared" si="2"/>
        <v>B</v>
      </c>
      <c r="AB37" s="71" t="str">
        <f t="shared" si="3"/>
        <v>C</v>
      </c>
      <c r="AC37" s="71" t="str">
        <f t="shared" si="4"/>
        <v>C</v>
      </c>
      <c r="AD37" s="71" t="str">
        <f t="shared" si="5"/>
        <v>S</v>
      </c>
      <c r="AE37" s="71" t="str">
        <f t="shared" si="6"/>
        <v>B</v>
      </c>
      <c r="AF37" s="60" t="str">
        <f t="shared" si="7"/>
        <v>S</v>
      </c>
      <c r="AG37" s="60" t="str">
        <f t="shared" si="8"/>
        <v>A</v>
      </c>
      <c r="AH37" s="60" t="str">
        <f t="shared" si="16"/>
        <v>-</v>
      </c>
      <c r="AI37" s="60" t="str">
        <f t="shared" si="17"/>
        <v>-</v>
      </c>
      <c r="AJ37" s="60" t="str">
        <f t="shared" si="18"/>
        <v>-</v>
      </c>
      <c r="AK37" s="60" t="str">
        <f t="shared" si="19"/>
        <v>-</v>
      </c>
      <c r="AL37" s="60" t="str">
        <f t="shared" si="26"/>
        <v>A</v>
      </c>
      <c r="AM37" s="60" t="str">
        <f t="shared" si="20"/>
        <v>-</v>
      </c>
      <c r="AN37" s="60" t="str">
        <f t="shared" si="21"/>
        <v>-</v>
      </c>
      <c r="AO37" s="60" t="str">
        <f t="shared" si="22"/>
        <v>A</v>
      </c>
      <c r="AP37" s="60" t="str">
        <f t="shared" si="23"/>
        <v>-</v>
      </c>
      <c r="AQ37" s="60" t="str">
        <f t="shared" si="24"/>
        <v>-</v>
      </c>
      <c r="AR37" s="60" t="str">
        <f t="shared" si="25"/>
        <v>-</v>
      </c>
      <c r="AS37" s="70">
        <f t="shared" si="10"/>
        <v>3</v>
      </c>
      <c r="AT37" s="70">
        <f t="shared" si="11"/>
        <v>2</v>
      </c>
      <c r="AU37" s="70">
        <f t="shared" si="12"/>
        <v>2</v>
      </c>
      <c r="AV37" s="70">
        <f t="shared" si="13"/>
        <v>2</v>
      </c>
      <c r="AW37" s="70">
        <f t="shared" si="14"/>
        <v>0</v>
      </c>
    </row>
    <row r="38" spans="1:49" s="41" customFormat="1" ht="12" customHeight="1">
      <c r="A38" s="72"/>
      <c r="B38" s="53">
        <v>30</v>
      </c>
      <c r="C38" s="54"/>
      <c r="D38" s="55" t="s">
        <v>71</v>
      </c>
      <c r="E38" s="56">
        <v>8</v>
      </c>
      <c r="F38" s="56">
        <v>9</v>
      </c>
      <c r="G38" s="56">
        <v>62</v>
      </c>
      <c r="H38" s="56">
        <v>81</v>
      </c>
      <c r="I38" s="56">
        <v>82</v>
      </c>
      <c r="J38" s="56">
        <v>28</v>
      </c>
      <c r="K38" s="56">
        <v>78</v>
      </c>
      <c r="L38" s="55"/>
      <c r="M38" s="55"/>
      <c r="N38" s="55"/>
      <c r="O38" s="55"/>
      <c r="P38" s="55"/>
      <c r="Q38" s="55">
        <v>90</v>
      </c>
      <c r="R38" s="55"/>
      <c r="S38" s="55"/>
      <c r="T38" s="55"/>
      <c r="U38" s="55"/>
      <c r="V38" s="55">
        <v>31</v>
      </c>
      <c r="W38" s="57">
        <f t="shared" si="0"/>
        <v>469</v>
      </c>
      <c r="X38" s="58">
        <f t="shared" si="15"/>
        <v>52.1111111111111</v>
      </c>
      <c r="Y38" s="57">
        <f t="shared" si="1"/>
        <v>32</v>
      </c>
      <c r="Z38" s="59"/>
      <c r="AA38" s="60" t="str">
        <f t="shared" si="2"/>
        <v>F</v>
      </c>
      <c r="AB38" s="60" t="str">
        <f t="shared" si="3"/>
        <v>F</v>
      </c>
      <c r="AC38" s="60" t="str">
        <f t="shared" si="4"/>
        <v>C</v>
      </c>
      <c r="AD38" s="60" t="str">
        <f t="shared" si="5"/>
        <v>A</v>
      </c>
      <c r="AE38" s="60" t="str">
        <f t="shared" si="6"/>
        <v>A</v>
      </c>
      <c r="AF38" s="60" t="str">
        <f t="shared" si="7"/>
        <v>F</v>
      </c>
      <c r="AG38" s="60" t="str">
        <f t="shared" si="8"/>
        <v>A</v>
      </c>
      <c r="AH38" s="60" t="str">
        <f t="shared" si="16"/>
        <v>-</v>
      </c>
      <c r="AI38" s="60" t="str">
        <f t="shared" si="17"/>
        <v>-</v>
      </c>
      <c r="AJ38" s="60" t="str">
        <f t="shared" si="18"/>
        <v>-</v>
      </c>
      <c r="AK38" s="60" t="str">
        <f t="shared" si="19"/>
        <v>-</v>
      </c>
      <c r="AL38" s="60" t="str">
        <f t="shared" si="26"/>
        <v>-</v>
      </c>
      <c r="AM38" s="60" t="str">
        <f t="shared" si="20"/>
        <v>A</v>
      </c>
      <c r="AN38" s="60" t="str">
        <f t="shared" si="21"/>
        <v>-</v>
      </c>
      <c r="AO38" s="60" t="str">
        <f t="shared" si="22"/>
        <v>-</v>
      </c>
      <c r="AP38" s="60" t="str">
        <f t="shared" si="23"/>
        <v>-</v>
      </c>
      <c r="AQ38" s="60" t="str">
        <f t="shared" si="24"/>
        <v>-</v>
      </c>
      <c r="AR38" s="60" t="str">
        <f t="shared" si="25"/>
        <v>F</v>
      </c>
      <c r="AS38" s="59">
        <f t="shared" si="10"/>
        <v>4</v>
      </c>
      <c r="AT38" s="59">
        <f t="shared" si="11"/>
        <v>0</v>
      </c>
      <c r="AU38" s="59">
        <f t="shared" si="12"/>
        <v>1</v>
      </c>
      <c r="AV38" s="59">
        <f t="shared" si="13"/>
        <v>0</v>
      </c>
      <c r="AW38" s="59">
        <f t="shared" si="14"/>
        <v>4</v>
      </c>
    </row>
    <row r="39" spans="1:49" s="41" customFormat="1" ht="12" customHeight="1">
      <c r="A39" s="72"/>
      <c r="B39" s="53">
        <v>31</v>
      </c>
      <c r="C39" s="55"/>
      <c r="D39" s="55" t="s">
        <v>72</v>
      </c>
      <c r="E39" s="56">
        <v>53</v>
      </c>
      <c r="F39" s="56">
        <v>35</v>
      </c>
      <c r="G39" s="56">
        <v>26</v>
      </c>
      <c r="H39" s="56">
        <v>76</v>
      </c>
      <c r="I39" s="56">
        <v>73</v>
      </c>
      <c r="J39" s="56">
        <v>43</v>
      </c>
      <c r="K39" s="56">
        <v>96</v>
      </c>
      <c r="L39" s="55"/>
      <c r="M39" s="55"/>
      <c r="N39" s="53"/>
      <c r="O39" s="53">
        <v>68</v>
      </c>
      <c r="P39" s="53"/>
      <c r="Q39" s="53"/>
      <c r="R39" s="53"/>
      <c r="S39" s="53"/>
      <c r="T39" s="53"/>
      <c r="U39" s="53"/>
      <c r="V39" s="53">
        <v>36</v>
      </c>
      <c r="W39" s="57">
        <f t="shared" si="0"/>
        <v>506</v>
      </c>
      <c r="X39" s="58">
        <f t="shared" si="15"/>
        <v>56.2222222222222</v>
      </c>
      <c r="Y39" s="57">
        <f t="shared" si="1"/>
        <v>30</v>
      </c>
      <c r="Z39" s="59"/>
      <c r="AA39" s="60" t="str">
        <f t="shared" si="2"/>
        <v>S</v>
      </c>
      <c r="AB39" s="60" t="str">
        <f t="shared" si="3"/>
        <v>S</v>
      </c>
      <c r="AC39" s="60" t="str">
        <f t="shared" si="4"/>
        <v>F</v>
      </c>
      <c r="AD39" s="60" t="str">
        <f t="shared" si="5"/>
        <v>A</v>
      </c>
      <c r="AE39" s="60" t="str">
        <f t="shared" si="6"/>
        <v>B</v>
      </c>
      <c r="AF39" s="60" t="str">
        <f t="shared" si="7"/>
        <v>S</v>
      </c>
      <c r="AG39" s="60" t="str">
        <f t="shared" si="8"/>
        <v>A</v>
      </c>
      <c r="AH39" s="60" t="str">
        <f t="shared" si="16"/>
        <v>-</v>
      </c>
      <c r="AI39" s="60" t="str">
        <f t="shared" si="17"/>
        <v>-</v>
      </c>
      <c r="AJ39" s="60" t="str">
        <f t="shared" si="18"/>
        <v>-</v>
      </c>
      <c r="AK39" s="60" t="str">
        <f t="shared" si="19"/>
        <v>B</v>
      </c>
      <c r="AL39" s="60" t="str">
        <f t="shared" si="26"/>
        <v>-</v>
      </c>
      <c r="AM39" s="60" t="str">
        <f t="shared" si="20"/>
        <v>-</v>
      </c>
      <c r="AN39" s="60" t="str">
        <f t="shared" si="21"/>
        <v>-</v>
      </c>
      <c r="AO39" s="60" t="str">
        <f t="shared" si="22"/>
        <v>-</v>
      </c>
      <c r="AP39" s="60" t="str">
        <f t="shared" si="23"/>
        <v>-</v>
      </c>
      <c r="AQ39" s="60" t="str">
        <f t="shared" si="24"/>
        <v>-</v>
      </c>
      <c r="AR39" s="60" t="str">
        <f t="shared" si="25"/>
        <v>S</v>
      </c>
      <c r="AS39" s="59">
        <f t="shared" si="10"/>
        <v>2</v>
      </c>
      <c r="AT39" s="59">
        <f t="shared" si="11"/>
        <v>2</v>
      </c>
      <c r="AU39" s="59">
        <f t="shared" si="12"/>
        <v>0</v>
      </c>
      <c r="AV39" s="59">
        <f t="shared" si="13"/>
        <v>4</v>
      </c>
      <c r="AW39" s="73">
        <f t="shared" si="14"/>
        <v>1</v>
      </c>
    </row>
    <row r="40" spans="1:49" s="41" customFormat="1" ht="12" customHeight="1">
      <c r="A40" s="67"/>
      <c r="B40" s="53">
        <v>32</v>
      </c>
      <c r="C40" s="53"/>
      <c r="D40" s="55" t="s">
        <v>73</v>
      </c>
      <c r="E40" s="56">
        <v>62</v>
      </c>
      <c r="F40" s="56">
        <v>48</v>
      </c>
      <c r="G40" s="56">
        <v>58</v>
      </c>
      <c r="H40" s="56">
        <v>53</v>
      </c>
      <c r="I40" s="56">
        <v>79</v>
      </c>
      <c r="J40" s="56">
        <v>67</v>
      </c>
      <c r="K40" s="56">
        <v>83</v>
      </c>
      <c r="L40" s="74">
        <v>55</v>
      </c>
      <c r="M40" s="48"/>
      <c r="N40" s="48"/>
      <c r="O40" s="48"/>
      <c r="P40" s="48"/>
      <c r="Q40" s="48"/>
      <c r="R40" s="53"/>
      <c r="S40" s="53">
        <v>74</v>
      </c>
      <c r="T40" s="53"/>
      <c r="U40" s="53"/>
      <c r="V40" s="53"/>
      <c r="W40" s="57">
        <f t="shared" si="0"/>
        <v>579</v>
      </c>
      <c r="X40" s="58">
        <f t="shared" si="15"/>
        <v>64.3333333333333</v>
      </c>
      <c r="Y40" s="57">
        <f t="shared" si="1"/>
        <v>26</v>
      </c>
      <c r="Z40" s="59"/>
      <c r="AA40" s="60" t="str">
        <f t="shared" si="2"/>
        <v>C</v>
      </c>
      <c r="AB40" s="60" t="str">
        <f t="shared" si="3"/>
        <v>S</v>
      </c>
      <c r="AC40" s="60" t="str">
        <f t="shared" si="4"/>
        <v>C</v>
      </c>
      <c r="AD40" s="60" t="str">
        <f t="shared" si="5"/>
        <v>S</v>
      </c>
      <c r="AE40" s="60" t="str">
        <f t="shared" si="6"/>
        <v>A</v>
      </c>
      <c r="AF40" s="60" t="str">
        <f t="shared" si="7"/>
        <v>B</v>
      </c>
      <c r="AG40" s="60" t="str">
        <f t="shared" si="8"/>
        <v>A</v>
      </c>
      <c r="AH40" s="60" t="str">
        <f t="shared" si="16"/>
        <v>C</v>
      </c>
      <c r="AI40" s="60" t="str">
        <f t="shared" si="17"/>
        <v>-</v>
      </c>
      <c r="AJ40" s="60" t="str">
        <f t="shared" si="18"/>
        <v>-</v>
      </c>
      <c r="AK40" s="60" t="str">
        <f t="shared" si="19"/>
        <v>-</v>
      </c>
      <c r="AL40" s="60" t="str">
        <f t="shared" si="26"/>
        <v>-</v>
      </c>
      <c r="AM40" s="60" t="str">
        <f t="shared" si="20"/>
        <v>-</v>
      </c>
      <c r="AN40" s="60" t="str">
        <f t="shared" si="21"/>
        <v>-</v>
      </c>
      <c r="AO40" s="60" t="str">
        <f t="shared" si="22"/>
        <v>B</v>
      </c>
      <c r="AP40" s="60" t="str">
        <f t="shared" si="23"/>
        <v>-</v>
      </c>
      <c r="AQ40" s="60" t="str">
        <f t="shared" si="24"/>
        <v>-</v>
      </c>
      <c r="AR40" s="60" t="str">
        <f t="shared" si="25"/>
        <v>-</v>
      </c>
      <c r="AS40" s="59">
        <f t="shared" si="10"/>
        <v>2</v>
      </c>
      <c r="AT40" s="59">
        <f t="shared" si="11"/>
        <v>2</v>
      </c>
      <c r="AU40" s="59">
        <f t="shared" si="12"/>
        <v>3</v>
      </c>
      <c r="AV40" s="59">
        <f t="shared" si="13"/>
        <v>2</v>
      </c>
      <c r="AW40" s="73">
        <f t="shared" si="14"/>
        <v>0</v>
      </c>
    </row>
    <row r="41" spans="1:49" s="41" customFormat="1" ht="12" customHeight="1">
      <c r="A41" s="67"/>
      <c r="B41" s="53">
        <v>33</v>
      </c>
      <c r="C41" s="53"/>
      <c r="D41" s="55" t="s">
        <v>74</v>
      </c>
      <c r="E41" s="56">
        <v>67</v>
      </c>
      <c r="F41" s="56">
        <v>58</v>
      </c>
      <c r="G41" s="56">
        <v>53</v>
      </c>
      <c r="H41" s="56">
        <v>30</v>
      </c>
      <c r="I41" s="56">
        <v>69</v>
      </c>
      <c r="J41" s="56">
        <v>49</v>
      </c>
      <c r="K41" s="56">
        <v>82</v>
      </c>
      <c r="L41" s="74">
        <v>48</v>
      </c>
      <c r="M41" s="48"/>
      <c r="N41" s="48"/>
      <c r="O41" s="48"/>
      <c r="P41" s="48"/>
      <c r="Q41" s="48"/>
      <c r="R41" s="53"/>
      <c r="S41" s="53">
        <v>94</v>
      </c>
      <c r="T41" s="53"/>
      <c r="U41" s="53"/>
      <c r="V41" s="53"/>
      <c r="W41" s="57">
        <f t="shared" si="0"/>
        <v>550</v>
      </c>
      <c r="X41" s="58">
        <f t="shared" si="15"/>
        <v>61.1111111111111</v>
      </c>
      <c r="Y41" s="57">
        <f t="shared" si="1"/>
        <v>28</v>
      </c>
      <c r="Z41" s="59"/>
      <c r="AA41" s="60" t="str">
        <f t="shared" si="2"/>
        <v>B</v>
      </c>
      <c r="AB41" s="60" t="str">
        <f t="shared" si="3"/>
        <v>C</v>
      </c>
      <c r="AC41" s="60" t="str">
        <f t="shared" si="4"/>
        <v>S</v>
      </c>
      <c r="AD41" s="60" t="str">
        <f t="shared" si="5"/>
        <v>F</v>
      </c>
      <c r="AE41" s="60" t="str">
        <f t="shared" si="6"/>
        <v>B</v>
      </c>
      <c r="AF41" s="60" t="str">
        <f t="shared" si="7"/>
        <v>S</v>
      </c>
      <c r="AG41" s="60" t="str">
        <f t="shared" si="8"/>
        <v>A</v>
      </c>
      <c r="AH41" s="60" t="str">
        <f t="shared" si="16"/>
        <v>S</v>
      </c>
      <c r="AI41" s="60" t="str">
        <f t="shared" si="17"/>
        <v>-</v>
      </c>
      <c r="AJ41" s="60" t="str">
        <f t="shared" si="18"/>
        <v>-</v>
      </c>
      <c r="AK41" s="60" t="str">
        <f t="shared" si="19"/>
        <v>-</v>
      </c>
      <c r="AL41" s="60" t="str">
        <f t="shared" si="26"/>
        <v>-</v>
      </c>
      <c r="AM41" s="60" t="str">
        <f t="shared" si="20"/>
        <v>-</v>
      </c>
      <c r="AN41" s="60" t="str">
        <f t="shared" si="21"/>
        <v>-</v>
      </c>
      <c r="AO41" s="60" t="str">
        <f t="shared" si="22"/>
        <v>A</v>
      </c>
      <c r="AP41" s="60" t="str">
        <f t="shared" si="23"/>
        <v>-</v>
      </c>
      <c r="AQ41" s="60" t="str">
        <f t="shared" si="24"/>
        <v>-</v>
      </c>
      <c r="AR41" s="60" t="str">
        <f t="shared" si="25"/>
        <v>-</v>
      </c>
      <c r="AS41" s="59">
        <f t="shared" si="10"/>
        <v>2</v>
      </c>
      <c r="AT41" s="59">
        <f t="shared" si="11"/>
        <v>2</v>
      </c>
      <c r="AU41" s="59">
        <f t="shared" si="12"/>
        <v>1</v>
      </c>
      <c r="AV41" s="59">
        <f t="shared" si="13"/>
        <v>3</v>
      </c>
      <c r="AW41" s="73">
        <f t="shared" si="14"/>
        <v>1</v>
      </c>
    </row>
    <row r="42" spans="1:49" s="41" customFormat="1" ht="12.75">
      <c r="L42" s="75"/>
      <c r="M42" s="75"/>
      <c r="N42" s="75"/>
      <c r="O42" s="75"/>
      <c r="P42" s="75"/>
      <c r="Q42" s="75"/>
      <c r="X42" s="76"/>
    </row>
    <row r="43" spans="1:49" s="41" customFormat="1" ht="12.75">
      <c r="D43" s="77"/>
      <c r="E43" s="128" t="s">
        <v>13</v>
      </c>
      <c r="F43" s="128" t="s">
        <v>14</v>
      </c>
      <c r="G43" s="128" t="s">
        <v>15</v>
      </c>
      <c r="H43" s="128" t="s">
        <v>16</v>
      </c>
      <c r="I43" s="128" t="s">
        <v>17</v>
      </c>
      <c r="J43" s="128" t="s">
        <v>18</v>
      </c>
      <c r="K43" s="128" t="s">
        <v>19</v>
      </c>
      <c r="L43" s="104" t="s">
        <v>20</v>
      </c>
      <c r="M43" s="104"/>
      <c r="N43" s="104"/>
      <c r="O43" s="104"/>
      <c r="P43" s="104"/>
      <c r="Q43" s="104"/>
      <c r="R43" s="104" t="s">
        <v>21</v>
      </c>
      <c r="S43" s="104"/>
      <c r="T43" s="104"/>
      <c r="U43" s="104"/>
      <c r="V43" s="105"/>
      <c r="X43" s="76"/>
      <c r="AE43" s="128" t="s">
        <v>13</v>
      </c>
      <c r="AF43" s="128" t="s">
        <v>14</v>
      </c>
      <c r="AG43" s="128" t="s">
        <v>15</v>
      </c>
      <c r="AH43" s="128" t="s">
        <v>16</v>
      </c>
      <c r="AI43" s="128" t="s">
        <v>17</v>
      </c>
      <c r="AJ43" s="128" t="s">
        <v>18</v>
      </c>
      <c r="AK43" s="128" t="s">
        <v>19</v>
      </c>
      <c r="AL43" s="104" t="s">
        <v>20</v>
      </c>
      <c r="AM43" s="104"/>
      <c r="AN43" s="104"/>
      <c r="AO43" s="104"/>
      <c r="AP43" s="104"/>
      <c r="AQ43" s="104"/>
      <c r="AR43" s="104" t="s">
        <v>21</v>
      </c>
      <c r="AS43" s="104"/>
      <c r="AT43" s="104"/>
      <c r="AU43" s="104"/>
      <c r="AV43" s="105"/>
    </row>
    <row r="44" spans="1:49" s="41" customFormat="1" ht="49.5">
      <c r="D44" s="77"/>
      <c r="E44" s="128"/>
      <c r="F44" s="128"/>
      <c r="G44" s="128"/>
      <c r="H44" s="128"/>
      <c r="I44" s="128"/>
      <c r="J44" s="128"/>
      <c r="K44" s="128"/>
      <c r="L44" s="78" t="s">
        <v>23</v>
      </c>
      <c r="M44" s="78" t="s">
        <v>24</v>
      </c>
      <c r="N44" s="79" t="s">
        <v>25</v>
      </c>
      <c r="O44" s="79" t="s">
        <v>26</v>
      </c>
      <c r="P44" s="79" t="s">
        <v>27</v>
      </c>
      <c r="Q44" s="79" t="s">
        <v>28</v>
      </c>
      <c r="R44" s="79" t="s">
        <v>29</v>
      </c>
      <c r="S44" s="79" t="s">
        <v>30</v>
      </c>
      <c r="T44" s="79" t="s">
        <v>31</v>
      </c>
      <c r="U44" s="79" t="s">
        <v>32</v>
      </c>
      <c r="V44" s="80" t="s">
        <v>33</v>
      </c>
      <c r="W44" s="81"/>
      <c r="X44" s="76"/>
      <c r="AE44" s="128"/>
      <c r="AF44" s="128"/>
      <c r="AG44" s="128"/>
      <c r="AH44" s="128"/>
      <c r="AI44" s="128"/>
      <c r="AJ44" s="128"/>
      <c r="AK44" s="128"/>
      <c r="AL44" s="78" t="s">
        <v>23</v>
      </c>
      <c r="AM44" s="78" t="s">
        <v>24</v>
      </c>
      <c r="AN44" s="79" t="s">
        <v>25</v>
      </c>
      <c r="AO44" s="79" t="s">
        <v>26</v>
      </c>
      <c r="AP44" s="79" t="s">
        <v>27</v>
      </c>
      <c r="AQ44" s="79" t="s">
        <v>28</v>
      </c>
      <c r="AR44" s="79" t="s">
        <v>29</v>
      </c>
      <c r="AS44" s="79" t="s">
        <v>30</v>
      </c>
      <c r="AT44" s="79" t="s">
        <v>31</v>
      </c>
      <c r="AU44" s="79" t="s">
        <v>32</v>
      </c>
      <c r="AV44" s="80" t="s">
        <v>33</v>
      </c>
    </row>
    <row r="45" spans="1:49" s="41" customFormat="1" ht="12" customHeight="1">
      <c r="D45" s="82" t="s">
        <v>75</v>
      </c>
      <c r="E45" s="60">
        <f t="shared" ref="E45:V45" si="27">COUNTIF(AA9:AA41,"A")</f>
        <v>9</v>
      </c>
      <c r="F45" s="60">
        <f t="shared" si="27"/>
        <v>16</v>
      </c>
      <c r="G45" s="60">
        <f t="shared" si="27"/>
        <v>14</v>
      </c>
      <c r="H45" s="60">
        <f t="shared" si="27"/>
        <v>18</v>
      </c>
      <c r="I45" s="60">
        <f t="shared" si="27"/>
        <v>25</v>
      </c>
      <c r="J45" s="60">
        <f t="shared" si="27"/>
        <v>7</v>
      </c>
      <c r="K45" s="60">
        <f t="shared" si="27"/>
        <v>31</v>
      </c>
      <c r="L45" s="60">
        <f t="shared" si="27"/>
        <v>4</v>
      </c>
      <c r="M45" s="60">
        <f t="shared" si="27"/>
        <v>0</v>
      </c>
      <c r="N45" s="60">
        <f t="shared" si="27"/>
        <v>1</v>
      </c>
      <c r="O45" s="60">
        <f t="shared" si="27"/>
        <v>5</v>
      </c>
      <c r="P45" s="60">
        <f t="shared" si="27"/>
        <v>1</v>
      </c>
      <c r="Q45" s="60">
        <f t="shared" si="27"/>
        <v>9</v>
      </c>
      <c r="R45" s="60">
        <f t="shared" si="27"/>
        <v>4</v>
      </c>
      <c r="S45" s="60">
        <f t="shared" si="27"/>
        <v>10</v>
      </c>
      <c r="T45" s="60">
        <f t="shared" si="27"/>
        <v>0</v>
      </c>
      <c r="U45" s="60">
        <f t="shared" si="27"/>
        <v>4</v>
      </c>
      <c r="V45" s="83">
        <f t="shared" si="27"/>
        <v>2</v>
      </c>
      <c r="X45" s="76"/>
      <c r="Y45" s="106" t="s">
        <v>76</v>
      </c>
      <c r="Z45" s="107"/>
      <c r="AA45" s="107"/>
      <c r="AB45" s="107"/>
      <c r="AC45" s="107"/>
      <c r="AD45" s="108"/>
      <c r="AE45" s="53">
        <f>COUNTIF(E9:E41,"&lt;=34")</f>
        <v>1</v>
      </c>
      <c r="AF45" s="53">
        <f t="shared" ref="AF45:AV45" si="28">COUNTIF(F9:F41,"&lt;=34")</f>
        <v>2</v>
      </c>
      <c r="AG45" s="53">
        <f t="shared" si="28"/>
        <v>1</v>
      </c>
      <c r="AH45" s="53">
        <f t="shared" si="28"/>
        <v>1</v>
      </c>
      <c r="AI45" s="53">
        <f t="shared" si="28"/>
        <v>0</v>
      </c>
      <c r="AJ45" s="53">
        <f t="shared" si="28"/>
        <v>1</v>
      </c>
      <c r="AK45" s="53">
        <f t="shared" si="28"/>
        <v>0</v>
      </c>
      <c r="AL45" s="53">
        <f t="shared" si="28"/>
        <v>0</v>
      </c>
      <c r="AM45" s="53">
        <f t="shared" si="28"/>
        <v>0</v>
      </c>
      <c r="AN45" s="53">
        <f t="shared" si="28"/>
        <v>0</v>
      </c>
      <c r="AO45" s="53">
        <f t="shared" si="28"/>
        <v>0</v>
      </c>
      <c r="AP45" s="53">
        <f t="shared" si="28"/>
        <v>0</v>
      </c>
      <c r="AQ45" s="53">
        <f t="shared" si="28"/>
        <v>0</v>
      </c>
      <c r="AR45" s="53">
        <f t="shared" si="28"/>
        <v>0</v>
      </c>
      <c r="AS45" s="53">
        <f t="shared" si="28"/>
        <v>0</v>
      </c>
      <c r="AT45" s="53">
        <f t="shared" si="28"/>
        <v>0</v>
      </c>
      <c r="AU45" s="53">
        <f t="shared" si="28"/>
        <v>0</v>
      </c>
      <c r="AV45" s="53">
        <f t="shared" si="28"/>
        <v>2</v>
      </c>
    </row>
    <row r="46" spans="1:49" s="41" customFormat="1" ht="12" customHeight="1">
      <c r="D46" s="84" t="s">
        <v>77</v>
      </c>
      <c r="E46" s="60">
        <f t="shared" ref="E46:V46" si="29">COUNTIF(AA9:AA41,"B")</f>
        <v>12</v>
      </c>
      <c r="F46" s="60">
        <f t="shared" si="29"/>
        <v>5</v>
      </c>
      <c r="G46" s="60">
        <f t="shared" si="29"/>
        <v>9</v>
      </c>
      <c r="H46" s="60">
        <f t="shared" si="29"/>
        <v>7</v>
      </c>
      <c r="I46" s="60">
        <f t="shared" si="29"/>
        <v>7</v>
      </c>
      <c r="J46" s="60">
        <f t="shared" si="29"/>
        <v>14</v>
      </c>
      <c r="K46" s="60">
        <f t="shared" si="29"/>
        <v>2</v>
      </c>
      <c r="L46" s="60">
        <f t="shared" si="29"/>
        <v>1</v>
      </c>
      <c r="M46" s="60">
        <f t="shared" si="29"/>
        <v>0</v>
      </c>
      <c r="N46" s="60">
        <f t="shared" si="29"/>
        <v>2</v>
      </c>
      <c r="O46" s="60">
        <f t="shared" si="29"/>
        <v>1</v>
      </c>
      <c r="P46" s="60">
        <f t="shared" si="29"/>
        <v>0</v>
      </c>
      <c r="Q46" s="60">
        <f t="shared" si="29"/>
        <v>5</v>
      </c>
      <c r="R46" s="60">
        <f t="shared" si="29"/>
        <v>0</v>
      </c>
      <c r="S46" s="60">
        <f t="shared" si="29"/>
        <v>1</v>
      </c>
      <c r="T46" s="60">
        <f t="shared" si="29"/>
        <v>1</v>
      </c>
      <c r="U46" s="60">
        <f t="shared" si="29"/>
        <v>1</v>
      </c>
      <c r="V46" s="60">
        <f t="shared" si="29"/>
        <v>5</v>
      </c>
      <c r="X46" s="76"/>
      <c r="Y46" s="109" t="s">
        <v>78</v>
      </c>
      <c r="Z46" s="110"/>
      <c r="AA46" s="110"/>
      <c r="AB46" s="110"/>
      <c r="AC46" s="110"/>
      <c r="AD46" s="111"/>
      <c r="AE46" s="53">
        <f>COUNTIFS(E9:E41,"&gt;=35",E9:E41,"&lt;=54")</f>
        <v>3</v>
      </c>
      <c r="AF46" s="53">
        <f t="shared" ref="AF46:AV46" si="30">COUNTIFS(F9:F41,"&gt;=35",F9:F41,"&lt;=54")</f>
        <v>4</v>
      </c>
      <c r="AG46" s="53">
        <f t="shared" si="30"/>
        <v>3</v>
      </c>
      <c r="AH46" s="53">
        <f t="shared" si="30"/>
        <v>3</v>
      </c>
      <c r="AI46" s="53">
        <f t="shared" si="30"/>
        <v>1</v>
      </c>
      <c r="AJ46" s="53">
        <f t="shared" si="30"/>
        <v>7</v>
      </c>
      <c r="AK46" s="53">
        <f t="shared" si="30"/>
        <v>0</v>
      </c>
      <c r="AL46" s="53">
        <f t="shared" si="30"/>
        <v>1</v>
      </c>
      <c r="AM46" s="53">
        <f t="shared" si="30"/>
        <v>0</v>
      </c>
      <c r="AN46" s="53">
        <f t="shared" si="30"/>
        <v>0</v>
      </c>
      <c r="AO46" s="53">
        <f t="shared" si="30"/>
        <v>0</v>
      </c>
      <c r="AP46" s="53">
        <f t="shared" si="30"/>
        <v>0</v>
      </c>
      <c r="AQ46" s="53">
        <f t="shared" si="30"/>
        <v>0</v>
      </c>
      <c r="AR46" s="53">
        <f t="shared" si="30"/>
        <v>0</v>
      </c>
      <c r="AS46" s="53">
        <f t="shared" si="30"/>
        <v>0</v>
      </c>
      <c r="AT46" s="53">
        <f t="shared" si="30"/>
        <v>0</v>
      </c>
      <c r="AU46" s="53">
        <f t="shared" si="30"/>
        <v>0</v>
      </c>
      <c r="AV46" s="53">
        <f t="shared" si="30"/>
        <v>1</v>
      </c>
    </row>
    <row r="47" spans="1:49" s="41" customFormat="1" ht="12" customHeight="1">
      <c r="D47" s="85" t="s">
        <v>79</v>
      </c>
      <c r="E47" s="60">
        <f t="shared" ref="E47:V47" si="31">COUNTIF(AA9:AA41,"C")</f>
        <v>6</v>
      </c>
      <c r="F47" s="60">
        <f t="shared" si="31"/>
        <v>6</v>
      </c>
      <c r="G47" s="60">
        <f t="shared" si="31"/>
        <v>5</v>
      </c>
      <c r="H47" s="60">
        <f t="shared" si="31"/>
        <v>3</v>
      </c>
      <c r="I47" s="60">
        <f t="shared" si="31"/>
        <v>0</v>
      </c>
      <c r="J47" s="60">
        <f t="shared" si="31"/>
        <v>4</v>
      </c>
      <c r="K47" s="60">
        <f t="shared" si="31"/>
        <v>0</v>
      </c>
      <c r="L47" s="60">
        <f t="shared" si="31"/>
        <v>2</v>
      </c>
      <c r="M47" s="60">
        <f t="shared" si="31"/>
        <v>0</v>
      </c>
      <c r="N47" s="60">
        <f t="shared" si="31"/>
        <v>0</v>
      </c>
      <c r="O47" s="60">
        <f t="shared" si="31"/>
        <v>0</v>
      </c>
      <c r="P47" s="60">
        <f t="shared" si="31"/>
        <v>0</v>
      </c>
      <c r="Q47" s="60">
        <f t="shared" si="31"/>
        <v>1</v>
      </c>
      <c r="R47" s="60">
        <f t="shared" si="31"/>
        <v>0</v>
      </c>
      <c r="S47" s="60">
        <f t="shared" si="31"/>
        <v>0</v>
      </c>
      <c r="T47" s="60">
        <f t="shared" si="31"/>
        <v>0</v>
      </c>
      <c r="U47" s="60">
        <f t="shared" si="31"/>
        <v>1</v>
      </c>
      <c r="V47" s="60">
        <f t="shared" si="31"/>
        <v>1</v>
      </c>
      <c r="X47" s="76"/>
      <c r="Y47" s="112" t="s">
        <v>80</v>
      </c>
      <c r="Z47" s="113"/>
      <c r="AA47" s="113"/>
      <c r="AB47" s="113"/>
      <c r="AC47" s="113"/>
      <c r="AD47" s="114"/>
      <c r="AE47" s="53">
        <f>COUNTIFS(E9:E41,"&gt;=55",E9:E41,"&lt;=64")</f>
        <v>6</v>
      </c>
      <c r="AF47" s="53">
        <f t="shared" ref="AF47:AV47" si="32">COUNTIFS(F9:F41,"&gt;=55",F9:F41,"&lt;=64")</f>
        <v>6</v>
      </c>
      <c r="AG47" s="53">
        <f t="shared" si="32"/>
        <v>5</v>
      </c>
      <c r="AH47" s="53">
        <f t="shared" si="32"/>
        <v>3</v>
      </c>
      <c r="AI47" s="53">
        <f t="shared" si="32"/>
        <v>0</v>
      </c>
      <c r="AJ47" s="53">
        <f t="shared" si="32"/>
        <v>4</v>
      </c>
      <c r="AK47" s="53">
        <f t="shared" si="32"/>
        <v>0</v>
      </c>
      <c r="AL47" s="53">
        <f t="shared" si="32"/>
        <v>2</v>
      </c>
      <c r="AM47" s="53">
        <f t="shared" si="32"/>
        <v>0</v>
      </c>
      <c r="AN47" s="53">
        <f t="shared" si="32"/>
        <v>0</v>
      </c>
      <c r="AO47" s="53">
        <f t="shared" si="32"/>
        <v>0</v>
      </c>
      <c r="AP47" s="53">
        <f t="shared" si="32"/>
        <v>0</v>
      </c>
      <c r="AQ47" s="53">
        <f t="shared" si="32"/>
        <v>1</v>
      </c>
      <c r="AR47" s="53">
        <f t="shared" si="32"/>
        <v>0</v>
      </c>
      <c r="AS47" s="53">
        <f t="shared" si="32"/>
        <v>0</v>
      </c>
      <c r="AT47" s="53">
        <f t="shared" si="32"/>
        <v>0</v>
      </c>
      <c r="AU47" s="53">
        <f t="shared" si="32"/>
        <v>1</v>
      </c>
      <c r="AV47" s="53">
        <f t="shared" si="32"/>
        <v>1</v>
      </c>
    </row>
    <row r="48" spans="1:49" s="41" customFormat="1" ht="12" customHeight="1">
      <c r="C48" s="86"/>
      <c r="D48" s="87" t="s">
        <v>81</v>
      </c>
      <c r="E48" s="60">
        <f t="shared" ref="E48:V48" si="33">COUNTIF(AA9:AA41,"S")</f>
        <v>3</v>
      </c>
      <c r="F48" s="60">
        <f t="shared" si="33"/>
        <v>4</v>
      </c>
      <c r="G48" s="60">
        <f t="shared" si="33"/>
        <v>3</v>
      </c>
      <c r="H48" s="60">
        <f t="shared" si="33"/>
        <v>3</v>
      </c>
      <c r="I48" s="60">
        <f t="shared" si="33"/>
        <v>1</v>
      </c>
      <c r="J48" s="60">
        <f t="shared" si="33"/>
        <v>7</v>
      </c>
      <c r="K48" s="60">
        <f t="shared" si="33"/>
        <v>0</v>
      </c>
      <c r="L48" s="60">
        <f t="shared" si="33"/>
        <v>1</v>
      </c>
      <c r="M48" s="60">
        <f t="shared" si="33"/>
        <v>0</v>
      </c>
      <c r="N48" s="60">
        <f t="shared" si="33"/>
        <v>0</v>
      </c>
      <c r="O48" s="60">
        <f t="shared" si="33"/>
        <v>0</v>
      </c>
      <c r="P48" s="60">
        <f t="shared" si="33"/>
        <v>0</v>
      </c>
      <c r="Q48" s="60">
        <f t="shared" si="33"/>
        <v>0</v>
      </c>
      <c r="R48" s="60">
        <f t="shared" si="33"/>
        <v>0</v>
      </c>
      <c r="S48" s="60">
        <f t="shared" si="33"/>
        <v>0</v>
      </c>
      <c r="T48" s="60">
        <f t="shared" si="33"/>
        <v>0</v>
      </c>
      <c r="U48" s="60">
        <f t="shared" si="33"/>
        <v>0</v>
      </c>
      <c r="V48" s="60">
        <f t="shared" si="33"/>
        <v>1</v>
      </c>
      <c r="X48" s="76"/>
      <c r="Y48" s="115" t="s">
        <v>82</v>
      </c>
      <c r="Z48" s="116"/>
      <c r="AA48" s="116"/>
      <c r="AB48" s="116"/>
      <c r="AC48" s="116"/>
      <c r="AD48" s="117"/>
      <c r="AE48" s="53">
        <f>COUNTIFS(E9:E41,"&gt;=65",E9:E41,"&lt;=74")</f>
        <v>12</v>
      </c>
      <c r="AF48" s="53">
        <f t="shared" ref="AF48:AV48" si="34">COUNTIFS(F9:F41,"&gt;=65",F9:F41,"&lt;=74")</f>
        <v>5</v>
      </c>
      <c r="AG48" s="53">
        <f t="shared" si="34"/>
        <v>10</v>
      </c>
      <c r="AH48" s="53">
        <f t="shared" si="34"/>
        <v>7</v>
      </c>
      <c r="AI48" s="53">
        <f t="shared" si="34"/>
        <v>7</v>
      </c>
      <c r="AJ48" s="53">
        <f t="shared" si="34"/>
        <v>14</v>
      </c>
      <c r="AK48" s="53">
        <f t="shared" si="34"/>
        <v>2</v>
      </c>
      <c r="AL48" s="53">
        <f t="shared" si="34"/>
        <v>1</v>
      </c>
      <c r="AM48" s="53">
        <f t="shared" si="34"/>
        <v>0</v>
      </c>
      <c r="AN48" s="53">
        <f t="shared" si="34"/>
        <v>2</v>
      </c>
      <c r="AO48" s="53">
        <f t="shared" si="34"/>
        <v>1</v>
      </c>
      <c r="AP48" s="53">
        <f t="shared" si="34"/>
        <v>0</v>
      </c>
      <c r="AQ48" s="53">
        <f t="shared" si="34"/>
        <v>5</v>
      </c>
      <c r="AR48" s="53">
        <f t="shared" si="34"/>
        <v>0</v>
      </c>
      <c r="AS48" s="53">
        <f t="shared" si="34"/>
        <v>1</v>
      </c>
      <c r="AT48" s="53">
        <f t="shared" si="34"/>
        <v>1</v>
      </c>
      <c r="AU48" s="53">
        <f t="shared" si="34"/>
        <v>1</v>
      </c>
      <c r="AV48" s="53">
        <f t="shared" si="34"/>
        <v>5</v>
      </c>
    </row>
    <row r="49" spans="3:48" s="41" customFormat="1" ht="12" customHeight="1">
      <c r="C49" s="86"/>
      <c r="D49" s="88" t="s">
        <v>83</v>
      </c>
      <c r="E49" s="60">
        <f t="shared" ref="E49:V49" si="35">COUNTIF(AA9:AA41,"F")</f>
        <v>1</v>
      </c>
      <c r="F49" s="60">
        <f t="shared" si="35"/>
        <v>2</v>
      </c>
      <c r="G49" s="60">
        <f t="shared" si="35"/>
        <v>1</v>
      </c>
      <c r="H49" s="60">
        <f t="shared" si="35"/>
        <v>1</v>
      </c>
      <c r="I49" s="60">
        <f t="shared" si="35"/>
        <v>0</v>
      </c>
      <c r="J49" s="60">
        <f t="shared" si="35"/>
        <v>1</v>
      </c>
      <c r="K49" s="60">
        <f t="shared" si="35"/>
        <v>0</v>
      </c>
      <c r="L49" s="60">
        <f t="shared" si="35"/>
        <v>0</v>
      </c>
      <c r="M49" s="60">
        <f t="shared" si="35"/>
        <v>0</v>
      </c>
      <c r="N49" s="60">
        <f t="shared" si="35"/>
        <v>0</v>
      </c>
      <c r="O49" s="60">
        <f t="shared" si="35"/>
        <v>0</v>
      </c>
      <c r="P49" s="60">
        <f t="shared" si="35"/>
        <v>0</v>
      </c>
      <c r="Q49" s="60">
        <f t="shared" si="35"/>
        <v>0</v>
      </c>
      <c r="R49" s="60">
        <f t="shared" si="35"/>
        <v>0</v>
      </c>
      <c r="S49" s="60">
        <f t="shared" si="35"/>
        <v>0</v>
      </c>
      <c r="T49" s="60">
        <f t="shared" si="35"/>
        <v>0</v>
      </c>
      <c r="U49" s="60">
        <f t="shared" si="35"/>
        <v>0</v>
      </c>
      <c r="V49" s="60">
        <f t="shared" si="35"/>
        <v>2</v>
      </c>
      <c r="X49" s="76"/>
      <c r="Y49" s="118" t="s">
        <v>84</v>
      </c>
      <c r="Z49" s="119"/>
      <c r="AA49" s="119"/>
      <c r="AB49" s="119"/>
      <c r="AC49" s="119"/>
      <c r="AD49" s="120"/>
      <c r="AE49" s="53">
        <f>COUNTIFS(E9:E41,"&gt;=75",E9:E41,"&lt;=100")</f>
        <v>9</v>
      </c>
      <c r="AF49" s="53">
        <f t="shared" ref="AF49:AV49" si="36">COUNTIFS(F9:F41,"&gt;=75",F9:F41,"&lt;=100")</f>
        <v>16</v>
      </c>
      <c r="AG49" s="53">
        <f t="shared" si="36"/>
        <v>14</v>
      </c>
      <c r="AH49" s="53">
        <f t="shared" si="36"/>
        <v>18</v>
      </c>
      <c r="AI49" s="53">
        <f t="shared" si="36"/>
        <v>25</v>
      </c>
      <c r="AJ49" s="53">
        <f t="shared" si="36"/>
        <v>7</v>
      </c>
      <c r="AK49" s="53">
        <f t="shared" si="36"/>
        <v>31</v>
      </c>
      <c r="AL49" s="53">
        <f t="shared" si="36"/>
        <v>4</v>
      </c>
      <c r="AM49" s="53">
        <f t="shared" si="36"/>
        <v>0</v>
      </c>
      <c r="AN49" s="53">
        <f t="shared" si="36"/>
        <v>1</v>
      </c>
      <c r="AO49" s="53">
        <f t="shared" si="36"/>
        <v>5</v>
      </c>
      <c r="AP49" s="53">
        <f t="shared" si="36"/>
        <v>1</v>
      </c>
      <c r="AQ49" s="53">
        <f t="shared" si="36"/>
        <v>9</v>
      </c>
      <c r="AR49" s="53">
        <f t="shared" si="36"/>
        <v>4</v>
      </c>
      <c r="AS49" s="53">
        <f t="shared" si="36"/>
        <v>10</v>
      </c>
      <c r="AT49" s="53">
        <f t="shared" si="36"/>
        <v>0</v>
      </c>
      <c r="AU49" s="53">
        <f t="shared" si="36"/>
        <v>4</v>
      </c>
      <c r="AV49" s="53">
        <f t="shared" si="36"/>
        <v>2</v>
      </c>
    </row>
    <row r="50" spans="3:48" s="41" customFormat="1" ht="12" customHeight="1">
      <c r="C50" s="86"/>
      <c r="D50" s="89" t="s">
        <v>85</v>
      </c>
      <c r="E50" s="60">
        <f t="shared" ref="E50:V50" si="37">COUNTIF(AA9:AA41,"AB")</f>
        <v>2</v>
      </c>
      <c r="F50" s="60">
        <f t="shared" si="37"/>
        <v>0</v>
      </c>
      <c r="G50" s="60">
        <f t="shared" si="37"/>
        <v>0</v>
      </c>
      <c r="H50" s="60">
        <f t="shared" si="37"/>
        <v>1</v>
      </c>
      <c r="I50" s="60">
        <f t="shared" si="37"/>
        <v>0</v>
      </c>
      <c r="J50" s="60">
        <f t="shared" si="37"/>
        <v>0</v>
      </c>
      <c r="K50" s="60">
        <f t="shared" si="37"/>
        <v>0</v>
      </c>
      <c r="L50" s="60">
        <f t="shared" si="37"/>
        <v>0</v>
      </c>
      <c r="M50" s="60">
        <f t="shared" si="37"/>
        <v>0</v>
      </c>
      <c r="N50" s="60">
        <f t="shared" si="37"/>
        <v>0</v>
      </c>
      <c r="O50" s="60">
        <f t="shared" si="37"/>
        <v>0</v>
      </c>
      <c r="P50" s="60">
        <f t="shared" si="37"/>
        <v>0</v>
      </c>
      <c r="Q50" s="60">
        <f t="shared" si="37"/>
        <v>0</v>
      </c>
      <c r="R50" s="60">
        <f t="shared" si="37"/>
        <v>0</v>
      </c>
      <c r="S50" s="60">
        <f t="shared" si="37"/>
        <v>0</v>
      </c>
      <c r="T50" s="60">
        <f t="shared" si="37"/>
        <v>0</v>
      </c>
      <c r="U50" s="60">
        <f t="shared" si="37"/>
        <v>0</v>
      </c>
      <c r="V50" s="60">
        <f t="shared" si="37"/>
        <v>0</v>
      </c>
      <c r="X50" s="76"/>
      <c r="Y50" s="121" t="s">
        <v>86</v>
      </c>
      <c r="Z50" s="121"/>
      <c r="AA50" s="121"/>
      <c r="AB50" s="121"/>
      <c r="AC50" s="121"/>
      <c r="AD50" s="121"/>
      <c r="AE50" s="53">
        <f>E50</f>
        <v>2</v>
      </c>
      <c r="AF50" s="53">
        <f t="shared" ref="AF50:AV50" si="38">F50</f>
        <v>0</v>
      </c>
      <c r="AG50" s="53">
        <f t="shared" si="38"/>
        <v>0</v>
      </c>
      <c r="AH50" s="53">
        <f t="shared" si="38"/>
        <v>1</v>
      </c>
      <c r="AI50" s="53">
        <f t="shared" si="38"/>
        <v>0</v>
      </c>
      <c r="AJ50" s="53">
        <f t="shared" si="38"/>
        <v>0</v>
      </c>
      <c r="AK50" s="53">
        <f t="shared" si="38"/>
        <v>0</v>
      </c>
      <c r="AL50" s="53">
        <f t="shared" si="38"/>
        <v>0</v>
      </c>
      <c r="AM50" s="53">
        <f t="shared" si="38"/>
        <v>0</v>
      </c>
      <c r="AN50" s="53">
        <f t="shared" si="38"/>
        <v>0</v>
      </c>
      <c r="AO50" s="53">
        <f t="shared" si="38"/>
        <v>0</v>
      </c>
      <c r="AP50" s="53">
        <f t="shared" si="38"/>
        <v>0</v>
      </c>
      <c r="AQ50" s="53">
        <f t="shared" si="38"/>
        <v>0</v>
      </c>
      <c r="AR50" s="53">
        <f t="shared" si="38"/>
        <v>0</v>
      </c>
      <c r="AS50" s="53">
        <f t="shared" si="38"/>
        <v>0</v>
      </c>
      <c r="AT50" s="53">
        <f t="shared" si="38"/>
        <v>0</v>
      </c>
      <c r="AU50" s="53">
        <f t="shared" si="38"/>
        <v>0</v>
      </c>
      <c r="AV50" s="53">
        <f t="shared" si="38"/>
        <v>0</v>
      </c>
    </row>
    <row r="51" spans="3:48" s="41" customFormat="1" ht="12" customHeight="1">
      <c r="C51" s="86"/>
      <c r="D51" s="90" t="s">
        <v>9</v>
      </c>
      <c r="E51" s="91">
        <f t="shared" ref="E51:J51" si="39">SUM(E45:E50)</f>
        <v>33</v>
      </c>
      <c r="F51" s="91">
        <f t="shared" si="39"/>
        <v>33</v>
      </c>
      <c r="G51" s="91">
        <f t="shared" si="39"/>
        <v>32</v>
      </c>
      <c r="H51" s="91">
        <f t="shared" si="39"/>
        <v>33</v>
      </c>
      <c r="I51" s="91">
        <f t="shared" si="39"/>
        <v>33</v>
      </c>
      <c r="J51" s="91">
        <f t="shared" si="39"/>
        <v>33</v>
      </c>
      <c r="K51" s="60">
        <f t="shared" ref="K51:V51" si="40">SUM(K45:K50)</f>
        <v>33</v>
      </c>
      <c r="L51" s="60">
        <f t="shared" si="40"/>
        <v>8</v>
      </c>
      <c r="M51" s="60">
        <f t="shared" si="40"/>
        <v>0</v>
      </c>
      <c r="N51" s="60">
        <f t="shared" si="40"/>
        <v>3</v>
      </c>
      <c r="O51" s="60">
        <f t="shared" si="40"/>
        <v>6</v>
      </c>
      <c r="P51" s="60">
        <f t="shared" si="40"/>
        <v>1</v>
      </c>
      <c r="Q51" s="60">
        <f t="shared" si="40"/>
        <v>15</v>
      </c>
      <c r="R51" s="60">
        <f t="shared" si="40"/>
        <v>4</v>
      </c>
      <c r="S51" s="60">
        <f t="shared" si="40"/>
        <v>11</v>
      </c>
      <c r="T51" s="60">
        <f t="shared" si="40"/>
        <v>1</v>
      </c>
      <c r="U51" s="60">
        <f t="shared" si="40"/>
        <v>6</v>
      </c>
      <c r="V51" s="60">
        <f t="shared" si="40"/>
        <v>11</v>
      </c>
      <c r="X51" s="76"/>
      <c r="Y51" s="106" t="s">
        <v>9</v>
      </c>
      <c r="Z51" s="107"/>
      <c r="AA51" s="107"/>
      <c r="AB51" s="107"/>
      <c r="AC51" s="107"/>
      <c r="AD51" s="108"/>
      <c r="AE51" s="53">
        <f t="shared" ref="AE51:AK51" si="41">SUM(AE45:AE50)</f>
        <v>33</v>
      </c>
      <c r="AF51" s="53">
        <f t="shared" si="41"/>
        <v>33</v>
      </c>
      <c r="AG51" s="53">
        <f t="shared" si="41"/>
        <v>33</v>
      </c>
      <c r="AH51" s="53">
        <f t="shared" si="41"/>
        <v>33</v>
      </c>
      <c r="AI51" s="53">
        <f t="shared" si="41"/>
        <v>33</v>
      </c>
      <c r="AJ51" s="53">
        <f t="shared" si="41"/>
        <v>33</v>
      </c>
      <c r="AK51" s="53">
        <f t="shared" si="41"/>
        <v>33</v>
      </c>
      <c r="AL51" s="122">
        <v>33</v>
      </c>
      <c r="AM51" s="123"/>
      <c r="AN51" s="123"/>
      <c r="AO51" s="123"/>
      <c r="AP51" s="123"/>
      <c r="AQ51" s="124"/>
      <c r="AR51" s="122">
        <v>33</v>
      </c>
      <c r="AS51" s="123"/>
      <c r="AT51" s="123"/>
      <c r="AU51" s="123"/>
      <c r="AV51" s="124"/>
    </row>
    <row r="52" spans="3:48" s="41" customFormat="1" ht="12.75">
      <c r="C52" s="86"/>
      <c r="D52" s="92"/>
      <c r="E52" s="92"/>
      <c r="F52" s="92"/>
      <c r="G52" s="92"/>
      <c r="H52" s="92"/>
      <c r="I52" s="92"/>
      <c r="J52" s="92"/>
      <c r="K52" s="92"/>
      <c r="L52" s="93"/>
      <c r="M52" s="93"/>
      <c r="N52" s="81"/>
      <c r="O52" s="81"/>
      <c r="P52" s="81"/>
      <c r="Q52" s="81"/>
      <c r="R52" s="77"/>
      <c r="S52" s="77"/>
      <c r="T52" s="77"/>
      <c r="U52" s="77"/>
      <c r="V52" s="77"/>
      <c r="X52" s="76"/>
    </row>
    <row r="53" spans="3:48">
      <c r="C53" s="5" t="s">
        <v>87</v>
      </c>
      <c r="D53" s="5"/>
      <c r="E53" s="5" t="s">
        <v>88</v>
      </c>
      <c r="F53" s="5"/>
      <c r="G53" s="5"/>
      <c r="H53" s="5"/>
      <c r="I53" s="5"/>
      <c r="J53" s="5"/>
      <c r="K53" s="5"/>
      <c r="L53" s="94"/>
      <c r="M53" s="5"/>
      <c r="N53" s="5"/>
      <c r="O53" s="95" t="s">
        <v>89</v>
      </c>
      <c r="P53" s="5"/>
      <c r="Q53" s="5"/>
      <c r="R53" s="5"/>
      <c r="S53" s="5"/>
      <c r="U53" s="5"/>
      <c r="W53" s="5"/>
      <c r="X53" s="5" t="s">
        <v>90</v>
      </c>
      <c r="Y53" s="5"/>
      <c r="Z53" s="95"/>
      <c r="AA53" s="95"/>
      <c r="AB53" s="95"/>
      <c r="AC53" s="95"/>
      <c r="AD53" s="95"/>
      <c r="AE53" s="95"/>
      <c r="AF53" s="95"/>
      <c r="AG53" s="95"/>
      <c r="AH53" s="96"/>
      <c r="AI53" s="95"/>
      <c r="AJ53" s="96"/>
      <c r="AL53" s="96"/>
      <c r="AM53" s="96"/>
      <c r="AN53" s="96"/>
      <c r="AO53" s="96"/>
      <c r="AP53" s="96"/>
      <c r="AQ53" s="96"/>
    </row>
  </sheetData>
  <mergeCells count="57">
    <mergeCell ref="J7:J8"/>
    <mergeCell ref="J43:J44"/>
    <mergeCell ref="K7:K8"/>
    <mergeCell ref="K43:K44"/>
    <mergeCell ref="W6:W8"/>
    <mergeCell ref="Y51:AD51"/>
    <mergeCell ref="AL51:AQ51"/>
    <mergeCell ref="AR51:AV51"/>
    <mergeCell ref="B6:B8"/>
    <mergeCell ref="C6:C8"/>
    <mergeCell ref="D6:D8"/>
    <mergeCell ref="E7:E8"/>
    <mergeCell ref="E43:E44"/>
    <mergeCell ref="F7:F8"/>
    <mergeCell ref="F43:F44"/>
    <mergeCell ref="G7:G8"/>
    <mergeCell ref="G43:G44"/>
    <mergeCell ref="H7:H8"/>
    <mergeCell ref="H43:H44"/>
    <mergeCell ref="I7:I8"/>
    <mergeCell ref="I43:I44"/>
    <mergeCell ref="Y46:AD46"/>
    <mergeCell ref="Y47:AD47"/>
    <mergeCell ref="Y48:AD48"/>
    <mergeCell ref="Y49:AD49"/>
    <mergeCell ref="Y50:AD50"/>
    <mergeCell ref="L43:Q43"/>
    <mergeCell ref="R43:V43"/>
    <mergeCell ref="AL43:AQ43"/>
    <mergeCell ref="AR43:AV43"/>
    <mergeCell ref="Y45:AD45"/>
    <mergeCell ref="AE43:AE44"/>
    <mergeCell ref="AF43:AF44"/>
    <mergeCell ref="AG43:AG44"/>
    <mergeCell ref="AH43:AH44"/>
    <mergeCell ref="AI43:AI44"/>
    <mergeCell ref="AJ43:AJ44"/>
    <mergeCell ref="AK43:AK44"/>
    <mergeCell ref="L7:Q7"/>
    <mergeCell ref="R7:V7"/>
    <mergeCell ref="AH7:AM7"/>
    <mergeCell ref="AN7:AR7"/>
    <mergeCell ref="AS7:AW7"/>
    <mergeCell ref="X6:X8"/>
    <mergeCell ref="Y6:Y8"/>
    <mergeCell ref="AA7:AA8"/>
    <mergeCell ref="AB7:AB8"/>
    <mergeCell ref="AC7:AC8"/>
    <mergeCell ref="AD7:AD8"/>
    <mergeCell ref="AE7:AE8"/>
    <mergeCell ref="AF7:AF8"/>
    <mergeCell ref="AG7:AG8"/>
    <mergeCell ref="B2:AW2"/>
    <mergeCell ref="B3:C3"/>
    <mergeCell ref="B4:D4"/>
    <mergeCell ref="E6:V6"/>
    <mergeCell ref="AA6:AW6"/>
  </mergeCells>
  <conditionalFormatting sqref="E9">
    <cfRule type="cellIs" dxfId="5" priority="2" operator="lessThan">
      <formula>35</formula>
    </cfRule>
  </conditionalFormatting>
  <conditionalFormatting sqref="K9">
    <cfRule type="cellIs" dxfId="4" priority="1" operator="lessThan">
      <formula>35</formula>
    </cfRule>
  </conditionalFormatting>
  <conditionalFormatting sqref="X9:X41">
    <cfRule type="cellIs" dxfId="3" priority="6" operator="greaterThanOrEqual">
      <formula>80</formula>
    </cfRule>
  </conditionalFormatting>
  <conditionalFormatting sqref="F9:J9 E10:E38">
    <cfRule type="cellIs" dxfId="2" priority="7" operator="lessThan">
      <formula>35</formula>
    </cfRule>
  </conditionalFormatting>
  <conditionalFormatting sqref="F10:K38">
    <cfRule type="cellIs" dxfId="1" priority="3" operator="lessThan">
      <formula>35</formula>
    </cfRule>
  </conditionalFormatting>
  <conditionalFormatting sqref="E39:K41">
    <cfRule type="cellIs" dxfId="0" priority="4" operator="lessThan">
      <formula>35</formula>
    </cfRule>
  </conditionalFormatting>
  <pageMargins left="0.12" right="0.12" top="0.32" bottom="0.36" header="0.05" footer="0.12"/>
  <pageSetup paperSize="8" orientation="landscape"/>
  <headerFooter>
    <oddFooter>&amp;RPrepared by  ICT Unit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65"/>
  <sheetViews>
    <sheetView topLeftCell="A4" workbookViewId="0">
      <selection activeCell="AH9" sqref="AH9"/>
    </sheetView>
  </sheetViews>
  <sheetFormatPr defaultColWidth="9.28515625" defaultRowHeight="18.75"/>
  <cols>
    <col min="1" max="1" width="2.7109375" style="3" customWidth="1"/>
    <col min="2" max="2" width="4.7109375" style="3" customWidth="1"/>
    <col min="3" max="3" width="9.5703125" style="3" customWidth="1"/>
    <col min="4" max="4" width="23.7109375" style="3" customWidth="1"/>
    <col min="5" max="11" width="3.7109375" style="3" customWidth="1"/>
    <col min="12" max="17" width="3.7109375" style="4" customWidth="1"/>
    <col min="18" max="22" width="3.7109375" style="3" customWidth="1"/>
    <col min="23" max="23" width="6.85546875" style="3" customWidth="1"/>
    <col min="24" max="24" width="6.5703125" style="3" customWidth="1"/>
    <col min="25" max="25" width="4.28515625" style="3" customWidth="1"/>
    <col min="26" max="26" width="2.28515625" style="3" customWidth="1"/>
    <col min="27" max="44" width="3.5703125" style="3" customWidth="1"/>
    <col min="45" max="45" width="3.5703125" style="5" customWidth="1"/>
    <col min="46" max="49" width="4" style="3" customWidth="1"/>
    <col min="50" max="50" width="3.28515625" style="3" customWidth="1"/>
    <col min="51" max="16384" width="9.28515625" style="3"/>
  </cols>
  <sheetData>
    <row r="1" spans="2:50" ht="6.6" customHeight="1"/>
    <row r="2" spans="2:50" s="1" customFormat="1" ht="39" customHeight="1">
      <c r="B2" s="97" t="s">
        <v>91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</row>
    <row r="3" spans="2:50">
      <c r="B3" s="98" t="s">
        <v>1</v>
      </c>
      <c r="C3" s="98"/>
      <c r="E3" s="3" t="s">
        <v>92</v>
      </c>
    </row>
    <row r="4" spans="2:50">
      <c r="B4" s="98" t="s">
        <v>3</v>
      </c>
      <c r="C4" s="98"/>
      <c r="D4" s="98"/>
      <c r="E4" s="3" t="s">
        <v>93</v>
      </c>
    </row>
    <row r="5" spans="2:50" ht="9.6" customHeight="1">
      <c r="B5" s="6"/>
      <c r="C5" s="6"/>
    </row>
    <row r="6" spans="2:50" ht="18" customHeight="1">
      <c r="B6" s="141" t="s">
        <v>5</v>
      </c>
      <c r="C6" s="141" t="s">
        <v>6</v>
      </c>
      <c r="D6" s="142" t="s">
        <v>7</v>
      </c>
      <c r="E6" s="136" t="s">
        <v>8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44" t="s">
        <v>9</v>
      </c>
      <c r="X6" s="144" t="s">
        <v>10</v>
      </c>
      <c r="Y6" s="144" t="s">
        <v>11</v>
      </c>
      <c r="Z6" s="7"/>
      <c r="AA6" s="137" t="s">
        <v>12</v>
      </c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</row>
    <row r="7" spans="2:50" ht="39.6" customHeight="1">
      <c r="B7" s="141"/>
      <c r="C7" s="141"/>
      <c r="D7" s="142"/>
      <c r="E7" s="143" t="s">
        <v>13</v>
      </c>
      <c r="F7" s="143" t="s">
        <v>14</v>
      </c>
      <c r="G7" s="143" t="s">
        <v>15</v>
      </c>
      <c r="H7" s="143" t="s">
        <v>16</v>
      </c>
      <c r="I7" s="143" t="s">
        <v>17</v>
      </c>
      <c r="J7" s="143" t="s">
        <v>18</v>
      </c>
      <c r="K7" s="143" t="s">
        <v>19</v>
      </c>
      <c r="L7" s="138" t="s">
        <v>20</v>
      </c>
      <c r="M7" s="138"/>
      <c r="N7" s="138"/>
      <c r="O7" s="138"/>
      <c r="P7" s="138"/>
      <c r="Q7" s="138"/>
      <c r="R7" s="138" t="s">
        <v>21</v>
      </c>
      <c r="S7" s="138"/>
      <c r="T7" s="138"/>
      <c r="U7" s="138"/>
      <c r="V7" s="138"/>
      <c r="W7" s="145"/>
      <c r="X7" s="145"/>
      <c r="Y7" s="145"/>
      <c r="Z7" s="8"/>
      <c r="AA7" s="147" t="s">
        <v>13</v>
      </c>
      <c r="AB7" s="147" t="s">
        <v>14</v>
      </c>
      <c r="AC7" s="147" t="s">
        <v>15</v>
      </c>
      <c r="AD7" s="147" t="s">
        <v>16</v>
      </c>
      <c r="AE7" s="147" t="s">
        <v>17</v>
      </c>
      <c r="AF7" s="147" t="s">
        <v>18</v>
      </c>
      <c r="AG7" s="147" t="s">
        <v>19</v>
      </c>
      <c r="AH7" s="139" t="s">
        <v>20</v>
      </c>
      <c r="AI7" s="139"/>
      <c r="AJ7" s="139"/>
      <c r="AK7" s="139"/>
      <c r="AL7" s="139"/>
      <c r="AM7" s="139"/>
      <c r="AN7" s="139" t="s">
        <v>21</v>
      </c>
      <c r="AO7" s="139"/>
      <c r="AP7" s="139"/>
      <c r="AQ7" s="139"/>
      <c r="AR7" s="139"/>
      <c r="AS7" s="148" t="s">
        <v>5</v>
      </c>
      <c r="AT7" s="140" t="s">
        <v>22</v>
      </c>
      <c r="AU7" s="140"/>
      <c r="AV7" s="140"/>
      <c r="AW7" s="140"/>
      <c r="AX7" s="140"/>
    </row>
    <row r="8" spans="2:50" ht="85.15" customHeight="1">
      <c r="B8" s="141"/>
      <c r="C8" s="141"/>
      <c r="D8" s="142"/>
      <c r="E8" s="143"/>
      <c r="F8" s="143"/>
      <c r="G8" s="143"/>
      <c r="H8" s="143"/>
      <c r="I8" s="143"/>
      <c r="J8" s="143"/>
      <c r="K8" s="143"/>
      <c r="L8" s="9" t="s">
        <v>23</v>
      </c>
      <c r="M8" s="9" t="s">
        <v>24</v>
      </c>
      <c r="N8" s="10" t="s">
        <v>25</v>
      </c>
      <c r="O8" s="10" t="s">
        <v>26</v>
      </c>
      <c r="P8" s="10" t="s">
        <v>27</v>
      </c>
      <c r="Q8" s="10" t="s">
        <v>28</v>
      </c>
      <c r="R8" s="10" t="s">
        <v>29</v>
      </c>
      <c r="S8" s="10" t="s">
        <v>30</v>
      </c>
      <c r="T8" s="10" t="s">
        <v>31</v>
      </c>
      <c r="U8" s="10" t="s">
        <v>32</v>
      </c>
      <c r="V8" s="10" t="s">
        <v>33</v>
      </c>
      <c r="W8" s="146"/>
      <c r="X8" s="146"/>
      <c r="Y8" s="146"/>
      <c r="Z8" s="11"/>
      <c r="AA8" s="147"/>
      <c r="AB8" s="147"/>
      <c r="AC8" s="147"/>
      <c r="AD8" s="147"/>
      <c r="AE8" s="147"/>
      <c r="AF8" s="147"/>
      <c r="AG8" s="147"/>
      <c r="AH8" s="12" t="s">
        <v>23</v>
      </c>
      <c r="AI8" s="12" t="s">
        <v>24</v>
      </c>
      <c r="AJ8" s="13" t="s">
        <v>25</v>
      </c>
      <c r="AK8" s="13" t="s">
        <v>26</v>
      </c>
      <c r="AL8" s="13" t="s">
        <v>27</v>
      </c>
      <c r="AM8" s="13" t="s">
        <v>28</v>
      </c>
      <c r="AN8" s="13" t="s">
        <v>29</v>
      </c>
      <c r="AO8" s="13" t="s">
        <v>30</v>
      </c>
      <c r="AP8" s="13" t="s">
        <v>31</v>
      </c>
      <c r="AQ8" s="13" t="s">
        <v>32</v>
      </c>
      <c r="AR8" s="13" t="s">
        <v>33</v>
      </c>
      <c r="AS8" s="149"/>
      <c r="AT8" s="14" t="s">
        <v>34</v>
      </c>
      <c r="AU8" s="14" t="s">
        <v>35</v>
      </c>
      <c r="AV8" s="14" t="s">
        <v>36</v>
      </c>
      <c r="AW8" s="14" t="s">
        <v>37</v>
      </c>
      <c r="AX8" s="14" t="s">
        <v>38</v>
      </c>
    </row>
    <row r="9" spans="2:50">
      <c r="B9" s="15">
        <v>1</v>
      </c>
      <c r="C9" s="16">
        <v>3346</v>
      </c>
      <c r="D9" s="17" t="s">
        <v>94</v>
      </c>
      <c r="E9" s="18">
        <v>51</v>
      </c>
      <c r="F9" s="17">
        <v>65</v>
      </c>
      <c r="G9" s="17">
        <v>66</v>
      </c>
      <c r="H9" s="17">
        <v>75</v>
      </c>
      <c r="I9" s="17">
        <v>86</v>
      </c>
      <c r="J9" s="17">
        <v>78</v>
      </c>
      <c r="K9" s="17">
        <v>86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>
        <v>63</v>
      </c>
      <c r="W9" s="19">
        <f>SUM(E9:V9)</f>
        <v>570</v>
      </c>
      <c r="X9" s="19">
        <f>W9/9</f>
        <v>63.3333333333333</v>
      </c>
      <c r="Y9" s="19">
        <f>RANK(X9,X$9:X$38)</f>
        <v>13</v>
      </c>
      <c r="Z9" s="20"/>
      <c r="AA9" s="21" t="str">
        <f t="shared" ref="AA9:AA38" si="0">IF(E9="AB","AB",IF(E9&gt;=75,"A",IF(E9&gt;=65,"B",IF(E9&gt;=55,"C",IF(E9&gt;=35,"S","F")))))</f>
        <v>S</v>
      </c>
      <c r="AB9" s="21" t="str">
        <f t="shared" ref="AB9:AB38" si="1">IF(F9="AB","AB",IF(F9&gt;=75,"A",IF(F9&gt;=65,"B",IF(F9&gt;=55,"C",IF(F9&gt;=35,"S","F")))))</f>
        <v>B</v>
      </c>
      <c r="AC9" s="21" t="str">
        <f t="shared" ref="AC9:AC38" si="2">IF(G9="AB","AB",IF(G9&gt;=75,"A",IF(G9&gt;=65,"B",IF(G9&gt;=55,"C",IF(G9&gt;=35,"S","F")))))</f>
        <v>B</v>
      </c>
      <c r="AD9" s="21" t="str">
        <f t="shared" ref="AD9:AD38" si="3">IF(H9="AB","AB",IF(H9&gt;=75,"A",IF(H9&gt;=65,"B",IF(H9&gt;=55,"C",IF(H9&gt;=35,"S","F")))))</f>
        <v>A</v>
      </c>
      <c r="AE9" s="21" t="str">
        <f t="shared" ref="AE9:AE38" si="4">IF(I9="AB","AB",IF(I9&gt;=75,"A",IF(I9&gt;=65,"B",IF(I9&gt;=55,"C",IF(I9&gt;=35,"S","F")))))</f>
        <v>A</v>
      </c>
      <c r="AF9" s="21" t="str">
        <f t="shared" ref="AF9:AF38" si="5">IF(J9="AB","AB",IF(J9&gt;=75,"A",IF(J9&gt;=65,"B",IF(J9&gt;=55,"C",IF(J9&gt;=35,"S","F")))))</f>
        <v>A</v>
      </c>
      <c r="AG9" s="21" t="str">
        <f t="shared" ref="AG9:AG38" si="6">IF(K9="AB","AB",IF(K9&gt;=75,"A",IF(K9&gt;=65,"B",IF(K9&gt;=55,"C",IF(K9&gt;=35,"S","F")))))</f>
        <v>A</v>
      </c>
      <c r="AH9" s="21"/>
      <c r="AI9" s="21"/>
      <c r="AJ9" s="21"/>
      <c r="AK9" s="21"/>
      <c r="AL9" s="21"/>
      <c r="AM9" s="21" t="str">
        <f t="shared" ref="AM9:AM38" si="7">IF(Q9="AB","AB",IF(Q9&gt;=75,"A",IF(Q9&gt;=65,"B",IF(Q9&gt;=55,"C",IF(Q9&gt;=35,"S","F")))))</f>
        <v>F</v>
      </c>
      <c r="AN9" s="21"/>
      <c r="AO9" s="21"/>
      <c r="AP9" s="21"/>
      <c r="AQ9" s="21"/>
      <c r="AR9" s="21" t="str">
        <f>IF(V9="AB","AB",IF(V9&gt;=75,"A",IF(V9&gt;=65,"B",IF(V9&gt;=55,"C",IF(V9&gt;=35,"S","F")))))</f>
        <v>C</v>
      </c>
      <c r="AS9" s="22">
        <v>1</v>
      </c>
      <c r="AT9" s="23">
        <f>COUNTIF(AA9:AR9,"A")</f>
        <v>4</v>
      </c>
      <c r="AU9" s="23">
        <f>COUNTIF(AA9:AR9,"b")</f>
        <v>2</v>
      </c>
      <c r="AV9" s="23">
        <f>COUNTIF(AA9:AR9,"C")</f>
        <v>1</v>
      </c>
      <c r="AW9" s="23">
        <f>COUNTIF(AA9:AR9,"S")</f>
        <v>1</v>
      </c>
      <c r="AX9" s="23">
        <f>COUNTIF(AA9:AR9,"F")</f>
        <v>1</v>
      </c>
    </row>
    <row r="10" spans="2:50">
      <c r="B10" s="15">
        <v>2</v>
      </c>
      <c r="C10" s="24">
        <v>3347</v>
      </c>
      <c r="D10" s="18" t="s">
        <v>95</v>
      </c>
      <c r="E10" s="18">
        <v>34</v>
      </c>
      <c r="F10" s="18">
        <v>56</v>
      </c>
      <c r="G10" s="18">
        <v>84</v>
      </c>
      <c r="H10" s="18">
        <v>67</v>
      </c>
      <c r="I10" s="18">
        <v>90</v>
      </c>
      <c r="J10" s="18">
        <v>50</v>
      </c>
      <c r="K10" s="18">
        <v>83</v>
      </c>
      <c r="L10" s="18"/>
      <c r="M10" s="18"/>
      <c r="N10" s="17"/>
      <c r="O10" s="17"/>
      <c r="P10" s="17"/>
      <c r="Q10" s="17"/>
      <c r="R10" s="17"/>
      <c r="S10" s="17"/>
      <c r="T10" s="17"/>
      <c r="U10" s="17"/>
      <c r="V10" s="17">
        <v>56</v>
      </c>
      <c r="W10" s="19">
        <f t="shared" ref="W10:W38" si="8">SUM(E10:V10)</f>
        <v>520</v>
      </c>
      <c r="X10" s="19">
        <f t="shared" ref="X10:X38" si="9">W10/9</f>
        <v>57.7777777777778</v>
      </c>
      <c r="Y10" s="19">
        <f t="shared" ref="Y10:Y38" si="10">RANK(X10,X$9:X$38)</f>
        <v>19</v>
      </c>
      <c r="Z10" s="20"/>
      <c r="AA10" s="21" t="str">
        <f t="shared" si="0"/>
        <v>F</v>
      </c>
      <c r="AB10" s="21" t="str">
        <f t="shared" si="1"/>
        <v>C</v>
      </c>
      <c r="AC10" s="21" t="str">
        <f t="shared" si="2"/>
        <v>A</v>
      </c>
      <c r="AD10" s="21" t="str">
        <f t="shared" si="3"/>
        <v>B</v>
      </c>
      <c r="AE10" s="21" t="str">
        <f t="shared" si="4"/>
        <v>A</v>
      </c>
      <c r="AF10" s="21" t="str">
        <f t="shared" si="5"/>
        <v>S</v>
      </c>
      <c r="AG10" s="21" t="str">
        <f t="shared" si="6"/>
        <v>A</v>
      </c>
      <c r="AH10" s="21"/>
      <c r="AI10" s="21"/>
      <c r="AJ10" s="21"/>
      <c r="AK10" s="21"/>
      <c r="AL10" s="21"/>
      <c r="AM10" s="21" t="str">
        <f t="shared" si="7"/>
        <v>F</v>
      </c>
      <c r="AN10" s="21"/>
      <c r="AO10" s="21"/>
      <c r="AP10" s="21"/>
      <c r="AQ10" s="21"/>
      <c r="AR10" s="21" t="str">
        <f>IF(V10="AB","AB",IF(V10&gt;=75,"A",IF(V10&gt;=65,"B",IF(V10&gt;=55,"C",IF(V10&gt;=35,"S","F")))))</f>
        <v>C</v>
      </c>
      <c r="AS10" s="22">
        <v>2</v>
      </c>
      <c r="AT10" s="23">
        <f t="shared" ref="AT10:AT38" si="11">COUNTIF(AA10:AR10,"A")</f>
        <v>3</v>
      </c>
      <c r="AU10" s="23">
        <f t="shared" ref="AU10:AU38" si="12">COUNTIF(AA10:AR10,"b")</f>
        <v>1</v>
      </c>
      <c r="AV10" s="23">
        <f t="shared" ref="AV10:AV38" si="13">COUNTIF(AA10:AR10,"C")</f>
        <v>2</v>
      </c>
      <c r="AW10" s="23">
        <f t="shared" ref="AW10:AW38" si="14">COUNTIF(AA10:AR10,"S")</f>
        <v>1</v>
      </c>
      <c r="AX10" s="23">
        <f t="shared" ref="AX10:AX38" si="15">COUNTIF(AA10:AR10,"F")</f>
        <v>2</v>
      </c>
    </row>
    <row r="11" spans="2:50">
      <c r="B11" s="15">
        <v>3</v>
      </c>
      <c r="C11" s="16">
        <v>3364</v>
      </c>
      <c r="D11" s="17" t="s">
        <v>96</v>
      </c>
      <c r="E11" s="18">
        <v>67</v>
      </c>
      <c r="F11" s="17">
        <v>78</v>
      </c>
      <c r="G11" s="17">
        <v>89</v>
      </c>
      <c r="H11" s="17">
        <v>96</v>
      </c>
      <c r="I11" s="17">
        <v>94</v>
      </c>
      <c r="J11" s="17">
        <v>84</v>
      </c>
      <c r="K11" s="17">
        <v>89</v>
      </c>
      <c r="L11" s="17"/>
      <c r="M11" s="17"/>
      <c r="N11" s="17">
        <v>87</v>
      </c>
      <c r="O11" s="17"/>
      <c r="P11" s="17"/>
      <c r="Q11" s="17"/>
      <c r="R11" s="17"/>
      <c r="S11" s="17"/>
      <c r="T11" s="17"/>
      <c r="U11" s="17"/>
      <c r="V11" s="17">
        <v>75</v>
      </c>
      <c r="W11" s="19">
        <f t="shared" si="8"/>
        <v>759</v>
      </c>
      <c r="X11" s="19">
        <f t="shared" si="9"/>
        <v>84.3333333333333</v>
      </c>
      <c r="Y11" s="19">
        <f t="shared" si="10"/>
        <v>5</v>
      </c>
      <c r="Z11" s="20"/>
      <c r="AA11" s="21" t="str">
        <f t="shared" si="0"/>
        <v>B</v>
      </c>
      <c r="AB11" s="21" t="str">
        <f t="shared" si="1"/>
        <v>A</v>
      </c>
      <c r="AC11" s="21" t="str">
        <f t="shared" si="2"/>
        <v>A</v>
      </c>
      <c r="AD11" s="21" t="str">
        <f t="shared" si="3"/>
        <v>A</v>
      </c>
      <c r="AE11" s="21" t="str">
        <f t="shared" si="4"/>
        <v>A</v>
      </c>
      <c r="AF11" s="21" t="str">
        <f t="shared" si="5"/>
        <v>A</v>
      </c>
      <c r="AG11" s="21" t="str">
        <f t="shared" si="6"/>
        <v>A</v>
      </c>
      <c r="AH11" s="21"/>
      <c r="AI11" s="21"/>
      <c r="AJ11" s="21" t="str">
        <f>IF(N11="AB","AB",IF(N11&gt;=75,"A",IF(N11&gt;=65,"B",IF(N11&gt;=55,"C",IF(N11&gt;=35,"S","F")))))</f>
        <v>A</v>
      </c>
      <c r="AK11" s="21"/>
      <c r="AL11" s="21"/>
      <c r="AM11" s="21" t="str">
        <f t="shared" si="7"/>
        <v>F</v>
      </c>
      <c r="AN11" s="21"/>
      <c r="AO11" s="21"/>
      <c r="AP11" s="21"/>
      <c r="AQ11" s="21"/>
      <c r="AR11" s="21" t="str">
        <f>IF(V11="AB","AB",IF(V11&gt;=75,"A",IF(V11&gt;=65,"B",IF(V11&gt;=55,"C",IF(V11&gt;=35,"S","F")))))</f>
        <v>A</v>
      </c>
      <c r="AS11" s="22">
        <v>3</v>
      </c>
      <c r="AT11" s="23">
        <f t="shared" si="11"/>
        <v>8</v>
      </c>
      <c r="AU11" s="23">
        <f t="shared" si="12"/>
        <v>1</v>
      </c>
      <c r="AV11" s="23">
        <f t="shared" si="13"/>
        <v>0</v>
      </c>
      <c r="AW11" s="23">
        <f t="shared" si="14"/>
        <v>0</v>
      </c>
      <c r="AX11" s="23">
        <f t="shared" si="15"/>
        <v>1</v>
      </c>
    </row>
    <row r="12" spans="2:50">
      <c r="B12" s="15">
        <v>4</v>
      </c>
      <c r="C12" s="16">
        <v>3374</v>
      </c>
      <c r="D12" s="17" t="s">
        <v>97</v>
      </c>
      <c r="E12" s="18">
        <v>46</v>
      </c>
      <c r="F12" s="17">
        <v>61</v>
      </c>
      <c r="G12" s="17">
        <v>56</v>
      </c>
      <c r="H12" s="17">
        <v>51</v>
      </c>
      <c r="I12" s="17">
        <v>86</v>
      </c>
      <c r="J12" s="17">
        <v>67</v>
      </c>
      <c r="K12" s="17">
        <v>82</v>
      </c>
      <c r="L12" s="17"/>
      <c r="M12" s="17"/>
      <c r="N12" s="17">
        <v>78</v>
      </c>
      <c r="O12" s="17"/>
      <c r="P12" s="17"/>
      <c r="Q12" s="17"/>
      <c r="R12" s="17">
        <v>47</v>
      </c>
      <c r="S12" s="17"/>
      <c r="T12" s="17"/>
      <c r="U12" s="17"/>
      <c r="V12" s="17"/>
      <c r="W12" s="19">
        <f t="shared" si="8"/>
        <v>574</v>
      </c>
      <c r="X12" s="19">
        <f t="shared" si="9"/>
        <v>63.7777777777778</v>
      </c>
      <c r="Y12" s="19">
        <f t="shared" si="10"/>
        <v>12</v>
      </c>
      <c r="Z12" s="20"/>
      <c r="AA12" s="21" t="str">
        <f t="shared" si="0"/>
        <v>S</v>
      </c>
      <c r="AB12" s="21" t="str">
        <f t="shared" si="1"/>
        <v>C</v>
      </c>
      <c r="AC12" s="21" t="str">
        <f t="shared" si="2"/>
        <v>C</v>
      </c>
      <c r="AD12" s="21" t="str">
        <f t="shared" si="3"/>
        <v>S</v>
      </c>
      <c r="AE12" s="21" t="str">
        <f t="shared" si="4"/>
        <v>A</v>
      </c>
      <c r="AF12" s="21" t="str">
        <f t="shared" si="5"/>
        <v>B</v>
      </c>
      <c r="AG12" s="21" t="str">
        <f t="shared" si="6"/>
        <v>A</v>
      </c>
      <c r="AH12" s="21"/>
      <c r="AI12" s="21"/>
      <c r="AJ12" s="21" t="str">
        <f>IF(N12="AB","AB",IF(N12&gt;=75,"A",IF(N12&gt;=65,"B",IF(N12&gt;=55,"C",IF(N12&gt;=35,"S","F")))))</f>
        <v>A</v>
      </c>
      <c r="AK12" s="21"/>
      <c r="AL12" s="21"/>
      <c r="AM12" s="21" t="str">
        <f t="shared" si="7"/>
        <v>F</v>
      </c>
      <c r="AN12" s="21" t="str">
        <f>IF(R12="AB","AB",IF(R12&gt;=75,"A",IF(R12&gt;=65,"B",IF(R12&gt;=55,"C",IF(R12&gt;=35,"S","F")))))</f>
        <v>S</v>
      </c>
      <c r="AO12" s="21"/>
      <c r="AP12" s="21"/>
      <c r="AQ12" s="21"/>
      <c r="AR12" s="21"/>
      <c r="AS12" s="22">
        <v>4</v>
      </c>
      <c r="AT12" s="23">
        <f t="shared" si="11"/>
        <v>3</v>
      </c>
      <c r="AU12" s="23">
        <f t="shared" si="12"/>
        <v>1</v>
      </c>
      <c r="AV12" s="23">
        <f t="shared" si="13"/>
        <v>2</v>
      </c>
      <c r="AW12" s="23">
        <f t="shared" si="14"/>
        <v>3</v>
      </c>
      <c r="AX12" s="23">
        <f t="shared" si="15"/>
        <v>1</v>
      </c>
    </row>
    <row r="13" spans="2:50">
      <c r="B13" s="15">
        <v>5</v>
      </c>
      <c r="C13" s="16">
        <v>3389</v>
      </c>
      <c r="D13" s="17" t="s">
        <v>98</v>
      </c>
      <c r="E13" s="18">
        <v>74</v>
      </c>
      <c r="F13" s="17">
        <v>82</v>
      </c>
      <c r="G13" s="17">
        <v>94</v>
      </c>
      <c r="H13" s="17">
        <v>92</v>
      </c>
      <c r="I13" s="17">
        <v>93</v>
      </c>
      <c r="J13" s="17">
        <v>93</v>
      </c>
      <c r="K13" s="17">
        <v>94</v>
      </c>
      <c r="L13" s="17"/>
      <c r="M13" s="17">
        <v>91</v>
      </c>
      <c r="N13" s="17"/>
      <c r="O13" s="17"/>
      <c r="P13" s="17"/>
      <c r="Q13" s="17"/>
      <c r="R13" s="17"/>
      <c r="S13" s="17"/>
      <c r="T13" s="17"/>
      <c r="U13" s="17"/>
      <c r="V13" s="17">
        <v>74</v>
      </c>
      <c r="W13" s="19">
        <f t="shared" si="8"/>
        <v>787</v>
      </c>
      <c r="X13" s="19">
        <f t="shared" si="9"/>
        <v>87.4444444444444</v>
      </c>
      <c r="Y13" s="19">
        <f t="shared" si="10"/>
        <v>2</v>
      </c>
      <c r="Z13" s="20"/>
      <c r="AA13" s="21" t="str">
        <f t="shared" si="0"/>
        <v>B</v>
      </c>
      <c r="AB13" s="21" t="str">
        <f t="shared" si="1"/>
        <v>A</v>
      </c>
      <c r="AC13" s="21" t="str">
        <f t="shared" si="2"/>
        <v>A</v>
      </c>
      <c r="AD13" s="21" t="str">
        <f t="shared" si="3"/>
        <v>A</v>
      </c>
      <c r="AE13" s="21" t="str">
        <f t="shared" si="4"/>
        <v>A</v>
      </c>
      <c r="AF13" s="21" t="str">
        <f t="shared" si="5"/>
        <v>A</v>
      </c>
      <c r="AG13" s="21" t="str">
        <f t="shared" si="6"/>
        <v>A</v>
      </c>
      <c r="AH13" s="21"/>
      <c r="AI13" s="21" t="str">
        <f>IF(M13="AB","AB",IF(M13&gt;=75,"A",IF(M13&gt;=65,"B",IF(M13&gt;=55,"C",IF(M13&gt;=35,"S","F")))))</f>
        <v>A</v>
      </c>
      <c r="AJ13" s="21"/>
      <c r="AK13" s="21"/>
      <c r="AL13" s="21"/>
      <c r="AM13" s="21" t="str">
        <f t="shared" si="7"/>
        <v>F</v>
      </c>
      <c r="AN13" s="21"/>
      <c r="AO13" s="21"/>
      <c r="AP13" s="21"/>
      <c r="AQ13" s="21"/>
      <c r="AR13" s="21" t="str">
        <f>IF(V13="AB","AB",IF(V13&gt;=75,"A",IF(V13&gt;=65,"B",IF(V13&gt;=55,"C",IF(V13&gt;=35,"S","F")))))</f>
        <v>B</v>
      </c>
      <c r="AS13" s="22">
        <v>5</v>
      </c>
      <c r="AT13" s="23">
        <f t="shared" si="11"/>
        <v>7</v>
      </c>
      <c r="AU13" s="23">
        <f t="shared" si="12"/>
        <v>2</v>
      </c>
      <c r="AV13" s="23">
        <f t="shared" si="13"/>
        <v>0</v>
      </c>
      <c r="AW13" s="23">
        <f t="shared" si="14"/>
        <v>0</v>
      </c>
      <c r="AX13" s="23">
        <f t="shared" si="15"/>
        <v>1</v>
      </c>
    </row>
    <row r="14" spans="2:50">
      <c r="B14" s="15">
        <v>6</v>
      </c>
      <c r="C14" s="16">
        <v>3393</v>
      </c>
      <c r="D14" s="17" t="s">
        <v>99</v>
      </c>
      <c r="E14" s="18">
        <v>73</v>
      </c>
      <c r="F14" s="17">
        <v>85</v>
      </c>
      <c r="G14" s="17">
        <v>96</v>
      </c>
      <c r="H14" s="17">
        <v>90</v>
      </c>
      <c r="I14" s="17">
        <v>94</v>
      </c>
      <c r="J14" s="17">
        <v>88</v>
      </c>
      <c r="K14" s="17">
        <v>95</v>
      </c>
      <c r="L14" s="17"/>
      <c r="M14" s="17">
        <v>87</v>
      </c>
      <c r="N14" s="17"/>
      <c r="O14" s="17"/>
      <c r="P14" s="17"/>
      <c r="Q14" s="17"/>
      <c r="R14" s="17"/>
      <c r="S14" s="17">
        <v>96</v>
      </c>
      <c r="T14" s="17"/>
      <c r="U14" s="17"/>
      <c r="V14" s="17"/>
      <c r="W14" s="19">
        <f t="shared" si="8"/>
        <v>804</v>
      </c>
      <c r="X14" s="19">
        <f t="shared" si="9"/>
        <v>89.3333333333333</v>
      </c>
      <c r="Y14" s="19">
        <f t="shared" si="10"/>
        <v>1</v>
      </c>
      <c r="Z14" s="20"/>
      <c r="AA14" s="21" t="str">
        <f t="shared" si="0"/>
        <v>B</v>
      </c>
      <c r="AB14" s="21" t="str">
        <f t="shared" si="1"/>
        <v>A</v>
      </c>
      <c r="AC14" s="21" t="str">
        <f t="shared" si="2"/>
        <v>A</v>
      </c>
      <c r="AD14" s="21" t="str">
        <f t="shared" si="3"/>
        <v>A</v>
      </c>
      <c r="AE14" s="21" t="str">
        <f t="shared" si="4"/>
        <v>A</v>
      </c>
      <c r="AF14" s="21" t="str">
        <f t="shared" si="5"/>
        <v>A</v>
      </c>
      <c r="AG14" s="21" t="str">
        <f t="shared" si="6"/>
        <v>A</v>
      </c>
      <c r="AH14" s="21"/>
      <c r="AI14" s="21" t="str">
        <f>IF(M14="AB","AB",IF(M14&gt;=75,"A",IF(M14&gt;=65,"B",IF(M14&gt;=55,"C",IF(M14&gt;=35,"S","F")))))</f>
        <v>A</v>
      </c>
      <c r="AJ14" s="21"/>
      <c r="AK14" s="21"/>
      <c r="AL14" s="21"/>
      <c r="AM14" s="21" t="str">
        <f t="shared" si="7"/>
        <v>F</v>
      </c>
      <c r="AN14" s="21"/>
      <c r="AO14" s="21" t="str">
        <f>IF(S14="AB","AB",IF(S14&gt;=75,"A",IF(S14&gt;=65,"B",IF(S14&gt;=55,"C",IF(S14&gt;=35,"S","F")))))</f>
        <v>A</v>
      </c>
      <c r="AP14" s="21"/>
      <c r="AQ14" s="21"/>
      <c r="AR14" s="21"/>
      <c r="AS14" s="22">
        <v>6</v>
      </c>
      <c r="AT14" s="23">
        <f t="shared" si="11"/>
        <v>8</v>
      </c>
      <c r="AU14" s="23">
        <f t="shared" si="12"/>
        <v>1</v>
      </c>
      <c r="AV14" s="23">
        <f t="shared" si="13"/>
        <v>0</v>
      </c>
      <c r="AW14" s="23">
        <f t="shared" si="14"/>
        <v>0</v>
      </c>
      <c r="AX14" s="23">
        <f t="shared" si="15"/>
        <v>1</v>
      </c>
    </row>
    <row r="15" spans="2:50">
      <c r="B15" s="15">
        <v>7</v>
      </c>
      <c r="C15" s="16">
        <v>3402</v>
      </c>
      <c r="D15" s="17" t="s">
        <v>100</v>
      </c>
      <c r="E15" s="18">
        <v>41</v>
      </c>
      <c r="F15" s="17">
        <v>58</v>
      </c>
      <c r="G15" s="17">
        <v>95</v>
      </c>
      <c r="H15" s="17">
        <v>60</v>
      </c>
      <c r="I15" s="17">
        <v>95</v>
      </c>
      <c r="J15" s="17">
        <v>48</v>
      </c>
      <c r="K15" s="17">
        <v>84</v>
      </c>
      <c r="L15" s="17">
        <v>57</v>
      </c>
      <c r="M15" s="17"/>
      <c r="N15" s="17"/>
      <c r="O15" s="17"/>
      <c r="P15" s="17"/>
      <c r="Q15" s="17"/>
      <c r="R15" s="17"/>
      <c r="S15" s="17"/>
      <c r="T15" s="17"/>
      <c r="U15" s="17">
        <v>82</v>
      </c>
      <c r="V15" s="17"/>
      <c r="W15" s="19">
        <f t="shared" si="8"/>
        <v>620</v>
      </c>
      <c r="X15" s="19">
        <f t="shared" si="9"/>
        <v>68.8888888888889</v>
      </c>
      <c r="Y15" s="19">
        <f t="shared" si="10"/>
        <v>10</v>
      </c>
      <c r="Z15" s="20"/>
      <c r="AA15" s="21" t="str">
        <f t="shared" si="0"/>
        <v>S</v>
      </c>
      <c r="AB15" s="21" t="str">
        <f t="shared" si="1"/>
        <v>C</v>
      </c>
      <c r="AC15" s="21" t="str">
        <f t="shared" si="2"/>
        <v>A</v>
      </c>
      <c r="AD15" s="21" t="str">
        <f t="shared" si="3"/>
        <v>C</v>
      </c>
      <c r="AE15" s="21" t="str">
        <f t="shared" si="4"/>
        <v>A</v>
      </c>
      <c r="AF15" s="21" t="str">
        <f t="shared" si="5"/>
        <v>S</v>
      </c>
      <c r="AG15" s="21" t="str">
        <f t="shared" si="6"/>
        <v>A</v>
      </c>
      <c r="AH15" s="21" t="str">
        <f>IF(L15="AB","AB",IF(L15&gt;=75,"A",IF(L15&gt;=65,"B",IF(L15&gt;=55,"C",IF(L15&gt;=35,"S","F")))))</f>
        <v>C</v>
      </c>
      <c r="AI15" s="21"/>
      <c r="AJ15" s="21"/>
      <c r="AK15" s="21"/>
      <c r="AL15" s="21"/>
      <c r="AM15" s="21" t="str">
        <f t="shared" si="7"/>
        <v>F</v>
      </c>
      <c r="AN15" s="21"/>
      <c r="AO15" s="21"/>
      <c r="AP15" s="21"/>
      <c r="AQ15" s="21" t="str">
        <f>IF(U15="AB","AB",IF(U15&gt;=75,"A",IF(U15&gt;=65,"B",IF(U15&gt;=55,"C",IF(U15&gt;=35,"S","F")))))</f>
        <v>A</v>
      </c>
      <c r="AR15" s="21"/>
      <c r="AS15" s="22">
        <v>7</v>
      </c>
      <c r="AT15" s="23">
        <f t="shared" si="11"/>
        <v>4</v>
      </c>
      <c r="AU15" s="23">
        <f t="shared" si="12"/>
        <v>0</v>
      </c>
      <c r="AV15" s="23">
        <f t="shared" si="13"/>
        <v>3</v>
      </c>
      <c r="AW15" s="23">
        <f t="shared" si="14"/>
        <v>2</v>
      </c>
      <c r="AX15" s="23">
        <f t="shared" si="15"/>
        <v>1</v>
      </c>
    </row>
    <row r="16" spans="2:50">
      <c r="B16" s="15">
        <v>8</v>
      </c>
      <c r="C16" s="16">
        <v>3408</v>
      </c>
      <c r="D16" s="17" t="s">
        <v>101</v>
      </c>
      <c r="E16" s="18">
        <v>45</v>
      </c>
      <c r="F16" s="17">
        <v>58</v>
      </c>
      <c r="G16" s="17">
        <v>63</v>
      </c>
      <c r="H16" s="17">
        <v>72</v>
      </c>
      <c r="I16" s="17">
        <v>89</v>
      </c>
      <c r="J16" s="17">
        <v>59</v>
      </c>
      <c r="K16" s="17">
        <v>81</v>
      </c>
      <c r="L16" s="17">
        <v>51</v>
      </c>
      <c r="M16" s="17"/>
      <c r="N16" s="17"/>
      <c r="O16" s="17"/>
      <c r="P16" s="17"/>
      <c r="Q16" s="17"/>
      <c r="R16" s="17"/>
      <c r="S16" s="17">
        <v>48</v>
      </c>
      <c r="T16" s="17"/>
      <c r="U16" s="17"/>
      <c r="V16" s="17"/>
      <c r="W16" s="19">
        <f t="shared" si="8"/>
        <v>566</v>
      </c>
      <c r="X16" s="19">
        <f t="shared" si="9"/>
        <v>62.8888888888889</v>
      </c>
      <c r="Y16" s="19">
        <f t="shared" si="10"/>
        <v>14</v>
      </c>
      <c r="Z16" s="20"/>
      <c r="AA16" s="21" t="str">
        <f t="shared" si="0"/>
        <v>S</v>
      </c>
      <c r="AB16" s="21" t="str">
        <f t="shared" si="1"/>
        <v>C</v>
      </c>
      <c r="AC16" s="21" t="str">
        <f t="shared" si="2"/>
        <v>C</v>
      </c>
      <c r="AD16" s="21" t="str">
        <f t="shared" si="3"/>
        <v>B</v>
      </c>
      <c r="AE16" s="21" t="str">
        <f t="shared" si="4"/>
        <v>A</v>
      </c>
      <c r="AF16" s="21" t="str">
        <f t="shared" si="5"/>
        <v>C</v>
      </c>
      <c r="AG16" s="21" t="str">
        <f t="shared" si="6"/>
        <v>A</v>
      </c>
      <c r="AH16" s="21" t="str">
        <f>IF(L16="AB","AB",IF(L16&gt;=75,"A",IF(L16&gt;=65,"B",IF(L16&gt;=55,"C",IF(L16&gt;=35,"S","F")))))</f>
        <v>S</v>
      </c>
      <c r="AI16" s="21"/>
      <c r="AJ16" s="21"/>
      <c r="AK16" s="21"/>
      <c r="AL16" s="21"/>
      <c r="AM16" s="21" t="str">
        <f t="shared" si="7"/>
        <v>F</v>
      </c>
      <c r="AN16" s="21"/>
      <c r="AO16" s="21" t="str">
        <f>IF(S16="AB","AB",IF(S16&gt;=75,"A",IF(S16&gt;=65,"B",IF(S16&gt;=55,"C",IF(S16&gt;=35,"S","F")))))</f>
        <v>S</v>
      </c>
      <c r="AP16" s="21"/>
      <c r="AQ16" s="21"/>
      <c r="AR16" s="21"/>
      <c r="AS16" s="22">
        <v>8</v>
      </c>
      <c r="AT16" s="23">
        <f t="shared" si="11"/>
        <v>2</v>
      </c>
      <c r="AU16" s="23">
        <f t="shared" si="12"/>
        <v>1</v>
      </c>
      <c r="AV16" s="23">
        <f t="shared" si="13"/>
        <v>3</v>
      </c>
      <c r="AW16" s="23">
        <f t="shared" si="14"/>
        <v>3</v>
      </c>
      <c r="AX16" s="23">
        <f t="shared" si="15"/>
        <v>1</v>
      </c>
    </row>
    <row r="17" spans="2:50">
      <c r="B17" s="15">
        <v>9</v>
      </c>
      <c r="C17" s="16">
        <v>3437</v>
      </c>
      <c r="D17" s="17" t="s">
        <v>102</v>
      </c>
      <c r="E17" s="18">
        <v>50</v>
      </c>
      <c r="F17" s="17">
        <v>44</v>
      </c>
      <c r="G17" s="17">
        <v>89</v>
      </c>
      <c r="H17" s="17">
        <v>82</v>
      </c>
      <c r="I17" s="17">
        <v>93</v>
      </c>
      <c r="J17" s="17">
        <v>53</v>
      </c>
      <c r="K17" s="17">
        <v>91</v>
      </c>
      <c r="L17" s="17"/>
      <c r="M17" s="17"/>
      <c r="N17" s="17">
        <v>95</v>
      </c>
      <c r="O17" s="17"/>
      <c r="P17" s="17"/>
      <c r="Q17" s="17"/>
      <c r="R17" s="17"/>
      <c r="S17" s="17"/>
      <c r="T17" s="17"/>
      <c r="U17" s="17"/>
      <c r="V17" s="17">
        <v>70</v>
      </c>
      <c r="W17" s="19">
        <f t="shared" si="8"/>
        <v>667</v>
      </c>
      <c r="X17" s="19">
        <f t="shared" si="9"/>
        <v>74.1111111111111</v>
      </c>
      <c r="Y17" s="19">
        <f t="shared" si="10"/>
        <v>8</v>
      </c>
      <c r="Z17" s="20"/>
      <c r="AA17" s="21" t="str">
        <f t="shared" si="0"/>
        <v>S</v>
      </c>
      <c r="AB17" s="21" t="str">
        <f t="shared" si="1"/>
        <v>S</v>
      </c>
      <c r="AC17" s="21" t="str">
        <f t="shared" si="2"/>
        <v>A</v>
      </c>
      <c r="AD17" s="21" t="str">
        <f t="shared" si="3"/>
        <v>A</v>
      </c>
      <c r="AE17" s="21" t="str">
        <f t="shared" si="4"/>
        <v>A</v>
      </c>
      <c r="AF17" s="21" t="str">
        <f t="shared" si="5"/>
        <v>S</v>
      </c>
      <c r="AG17" s="21" t="str">
        <f t="shared" si="6"/>
        <v>A</v>
      </c>
      <c r="AH17" s="21"/>
      <c r="AI17" s="21"/>
      <c r="AJ17" s="21" t="str">
        <f>IF(N17="AB","AB",IF(N17&gt;=75,"A",IF(N17&gt;=65,"B",IF(N17&gt;=55,"C",IF(N17&gt;=35,"S","F")))))</f>
        <v>A</v>
      </c>
      <c r="AK17" s="21"/>
      <c r="AL17" s="21"/>
      <c r="AM17" s="21" t="str">
        <f t="shared" si="7"/>
        <v>F</v>
      </c>
      <c r="AN17" s="21"/>
      <c r="AO17" s="21"/>
      <c r="AP17" s="21"/>
      <c r="AQ17" s="21"/>
      <c r="AR17" s="21" t="str">
        <f>IF(V17="AB","AB",IF(V17&gt;=75,"A",IF(V17&gt;=65,"B",IF(V17&gt;=55,"C",IF(V17&gt;=35,"S","F")))))</f>
        <v>B</v>
      </c>
      <c r="AS17" s="22">
        <v>9</v>
      </c>
      <c r="AT17" s="23">
        <f t="shared" si="11"/>
        <v>5</v>
      </c>
      <c r="AU17" s="23">
        <f t="shared" si="12"/>
        <v>1</v>
      </c>
      <c r="AV17" s="23">
        <f t="shared" si="13"/>
        <v>0</v>
      </c>
      <c r="AW17" s="23">
        <f t="shared" si="14"/>
        <v>3</v>
      </c>
      <c r="AX17" s="23">
        <f t="shared" si="15"/>
        <v>1</v>
      </c>
    </row>
    <row r="18" spans="2:50">
      <c r="B18" s="15">
        <v>10</v>
      </c>
      <c r="C18" s="25">
        <v>3440</v>
      </c>
      <c r="D18" s="26" t="s">
        <v>103</v>
      </c>
      <c r="E18" s="18">
        <v>34</v>
      </c>
      <c r="F18" s="17">
        <v>48</v>
      </c>
      <c r="G18" s="17">
        <v>56</v>
      </c>
      <c r="H18" s="17">
        <v>57</v>
      </c>
      <c r="I18" s="17">
        <v>86</v>
      </c>
      <c r="J18" s="17">
        <v>31</v>
      </c>
      <c r="K18" s="17">
        <v>81</v>
      </c>
      <c r="L18" s="17"/>
      <c r="M18" s="17"/>
      <c r="N18" s="17"/>
      <c r="O18" s="17"/>
      <c r="P18" s="17"/>
      <c r="Q18" s="17"/>
      <c r="R18" s="17"/>
      <c r="S18" s="17"/>
      <c r="T18" s="17"/>
      <c r="U18" s="17">
        <v>52</v>
      </c>
      <c r="V18" s="17"/>
      <c r="W18" s="19">
        <f t="shared" si="8"/>
        <v>445</v>
      </c>
      <c r="X18" s="19">
        <f t="shared" si="9"/>
        <v>49.4444444444444</v>
      </c>
      <c r="Y18" s="19">
        <f t="shared" si="10"/>
        <v>27</v>
      </c>
      <c r="Z18" s="20"/>
      <c r="AA18" s="21" t="str">
        <f t="shared" si="0"/>
        <v>F</v>
      </c>
      <c r="AB18" s="21" t="str">
        <f t="shared" si="1"/>
        <v>S</v>
      </c>
      <c r="AC18" s="21" t="str">
        <f t="shared" si="2"/>
        <v>C</v>
      </c>
      <c r="AD18" s="21" t="str">
        <f t="shared" si="3"/>
        <v>C</v>
      </c>
      <c r="AE18" s="21" t="str">
        <f t="shared" si="4"/>
        <v>A</v>
      </c>
      <c r="AF18" s="21" t="str">
        <f t="shared" si="5"/>
        <v>F</v>
      </c>
      <c r="AG18" s="21" t="str">
        <f t="shared" si="6"/>
        <v>A</v>
      </c>
      <c r="AH18" s="21"/>
      <c r="AI18" s="21"/>
      <c r="AJ18" s="21"/>
      <c r="AK18" s="21"/>
      <c r="AL18" s="21"/>
      <c r="AM18" s="21" t="str">
        <f t="shared" si="7"/>
        <v>F</v>
      </c>
      <c r="AN18" s="21"/>
      <c r="AO18" s="21"/>
      <c r="AP18" s="21"/>
      <c r="AQ18" s="21" t="str">
        <f>IF(U18="AB","AB",IF(U18&gt;=75,"A",IF(U18&gt;=65,"B",IF(U18&gt;=55,"C",IF(U18&gt;=35,"S","F")))))</f>
        <v>S</v>
      </c>
      <c r="AR18" s="21"/>
      <c r="AS18" s="22">
        <v>10</v>
      </c>
      <c r="AT18" s="23">
        <f t="shared" si="11"/>
        <v>2</v>
      </c>
      <c r="AU18" s="23">
        <f t="shared" si="12"/>
        <v>0</v>
      </c>
      <c r="AV18" s="23">
        <f t="shared" si="13"/>
        <v>2</v>
      </c>
      <c r="AW18" s="23">
        <f t="shared" si="14"/>
        <v>2</v>
      </c>
      <c r="AX18" s="23">
        <f t="shared" si="15"/>
        <v>3</v>
      </c>
    </row>
    <row r="19" spans="2:50">
      <c r="B19" s="15">
        <v>11</v>
      </c>
      <c r="C19" s="16">
        <v>3443</v>
      </c>
      <c r="D19" s="17" t="s">
        <v>104</v>
      </c>
      <c r="E19" s="18">
        <v>40</v>
      </c>
      <c r="F19" s="17">
        <v>45</v>
      </c>
      <c r="G19" s="17">
        <v>37</v>
      </c>
      <c r="H19" s="17">
        <v>50</v>
      </c>
      <c r="I19" s="17">
        <v>90</v>
      </c>
      <c r="J19" s="17">
        <v>52</v>
      </c>
      <c r="K19" s="17">
        <v>73</v>
      </c>
      <c r="L19" s="17"/>
      <c r="M19" s="17"/>
      <c r="N19" s="17"/>
      <c r="O19" s="17"/>
      <c r="P19" s="17"/>
      <c r="Q19" s="17"/>
      <c r="R19" s="17"/>
      <c r="S19" s="17">
        <v>58</v>
      </c>
      <c r="T19" s="17"/>
      <c r="U19" s="17"/>
      <c r="V19" s="17"/>
      <c r="W19" s="19">
        <f t="shared" si="8"/>
        <v>445</v>
      </c>
      <c r="X19" s="19">
        <f t="shared" si="9"/>
        <v>49.4444444444444</v>
      </c>
      <c r="Y19" s="19">
        <f t="shared" si="10"/>
        <v>27</v>
      </c>
      <c r="Z19" s="20"/>
      <c r="AA19" s="21" t="str">
        <f t="shared" si="0"/>
        <v>S</v>
      </c>
      <c r="AB19" s="21" t="str">
        <f t="shared" si="1"/>
        <v>S</v>
      </c>
      <c r="AC19" s="21" t="str">
        <f t="shared" si="2"/>
        <v>S</v>
      </c>
      <c r="AD19" s="21" t="str">
        <f t="shared" si="3"/>
        <v>S</v>
      </c>
      <c r="AE19" s="21" t="str">
        <f t="shared" si="4"/>
        <v>A</v>
      </c>
      <c r="AF19" s="21" t="str">
        <f t="shared" si="5"/>
        <v>S</v>
      </c>
      <c r="AG19" s="21" t="str">
        <f t="shared" si="6"/>
        <v>B</v>
      </c>
      <c r="AH19" s="21"/>
      <c r="AI19" s="21"/>
      <c r="AJ19" s="21"/>
      <c r="AK19" s="21"/>
      <c r="AL19" s="21"/>
      <c r="AM19" s="21" t="str">
        <f t="shared" si="7"/>
        <v>F</v>
      </c>
      <c r="AN19" s="21"/>
      <c r="AO19" s="21" t="str">
        <f>IF(S19="AB","AB",IF(S19&gt;=75,"A",IF(S19&gt;=65,"B",IF(S19&gt;=55,"C",IF(S19&gt;=35,"S","F")))))</f>
        <v>C</v>
      </c>
      <c r="AP19" s="21"/>
      <c r="AQ19" s="21"/>
      <c r="AR19" s="21"/>
      <c r="AS19" s="22">
        <v>11</v>
      </c>
      <c r="AT19" s="23">
        <f t="shared" si="11"/>
        <v>1</v>
      </c>
      <c r="AU19" s="23">
        <f t="shared" si="12"/>
        <v>1</v>
      </c>
      <c r="AV19" s="23">
        <f t="shared" si="13"/>
        <v>1</v>
      </c>
      <c r="AW19" s="23">
        <f t="shared" si="14"/>
        <v>5</v>
      </c>
      <c r="AX19" s="23">
        <f t="shared" si="15"/>
        <v>1</v>
      </c>
    </row>
    <row r="20" spans="2:50">
      <c r="B20" s="15">
        <v>12</v>
      </c>
      <c r="C20" s="27">
        <v>3461</v>
      </c>
      <c r="D20" s="28" t="s">
        <v>105</v>
      </c>
      <c r="E20" s="18">
        <v>35</v>
      </c>
      <c r="F20" s="18">
        <v>38</v>
      </c>
      <c r="G20" s="18">
        <v>65</v>
      </c>
      <c r="H20" s="18">
        <v>61</v>
      </c>
      <c r="I20" s="18">
        <v>95</v>
      </c>
      <c r="J20" s="18">
        <v>46</v>
      </c>
      <c r="K20" s="18">
        <v>77</v>
      </c>
      <c r="L20" s="18"/>
      <c r="M20" s="18"/>
      <c r="N20" s="17"/>
      <c r="O20" s="17"/>
      <c r="P20" s="17"/>
      <c r="Q20" s="17"/>
      <c r="R20" s="17"/>
      <c r="S20" s="17"/>
      <c r="T20" s="17"/>
      <c r="U20" s="17"/>
      <c r="V20" s="17">
        <v>68</v>
      </c>
      <c r="W20" s="19">
        <f t="shared" si="8"/>
        <v>485</v>
      </c>
      <c r="X20" s="19">
        <f t="shared" si="9"/>
        <v>53.8888888888889</v>
      </c>
      <c r="Y20" s="19">
        <f t="shared" si="10"/>
        <v>24</v>
      </c>
      <c r="Z20" s="20"/>
      <c r="AA20" s="21" t="str">
        <f t="shared" si="0"/>
        <v>S</v>
      </c>
      <c r="AB20" s="21" t="str">
        <f t="shared" si="1"/>
        <v>S</v>
      </c>
      <c r="AC20" s="21" t="str">
        <f t="shared" si="2"/>
        <v>B</v>
      </c>
      <c r="AD20" s="21" t="str">
        <f t="shared" si="3"/>
        <v>C</v>
      </c>
      <c r="AE20" s="21" t="str">
        <f t="shared" si="4"/>
        <v>A</v>
      </c>
      <c r="AF20" s="21" t="str">
        <f t="shared" si="5"/>
        <v>S</v>
      </c>
      <c r="AG20" s="21" t="str">
        <f t="shared" si="6"/>
        <v>A</v>
      </c>
      <c r="AH20" s="21"/>
      <c r="AI20" s="21"/>
      <c r="AJ20" s="21"/>
      <c r="AK20" s="21"/>
      <c r="AL20" s="21"/>
      <c r="AM20" s="21" t="str">
        <f t="shared" si="7"/>
        <v>F</v>
      </c>
      <c r="AN20" s="21"/>
      <c r="AO20" s="21"/>
      <c r="AP20" s="21"/>
      <c r="AQ20" s="21"/>
      <c r="AR20" s="21" t="str">
        <f>IF(V20="AB","AB",IF(V20&gt;=75,"A",IF(V20&gt;=65,"B",IF(V20&gt;=55,"C",IF(V20&gt;=35,"S","F")))))</f>
        <v>B</v>
      </c>
      <c r="AS20" s="22">
        <v>12</v>
      </c>
      <c r="AT20" s="23">
        <f t="shared" si="11"/>
        <v>2</v>
      </c>
      <c r="AU20" s="23">
        <f t="shared" si="12"/>
        <v>2</v>
      </c>
      <c r="AV20" s="23">
        <f t="shared" si="13"/>
        <v>1</v>
      </c>
      <c r="AW20" s="23">
        <f t="shared" si="14"/>
        <v>3</v>
      </c>
      <c r="AX20" s="23">
        <f t="shared" si="15"/>
        <v>1</v>
      </c>
    </row>
    <row r="21" spans="2:50">
      <c r="B21" s="15">
        <v>13</v>
      </c>
      <c r="C21" s="24">
        <v>3493</v>
      </c>
      <c r="D21" s="18" t="s">
        <v>106</v>
      </c>
      <c r="E21" s="18">
        <v>80</v>
      </c>
      <c r="F21" s="18">
        <v>84</v>
      </c>
      <c r="G21" s="18">
        <v>91</v>
      </c>
      <c r="H21" s="18">
        <v>94</v>
      </c>
      <c r="I21" s="18">
        <v>92</v>
      </c>
      <c r="J21" s="18">
        <v>91</v>
      </c>
      <c r="K21" s="18">
        <v>92</v>
      </c>
      <c r="L21" s="18"/>
      <c r="M21" s="18">
        <v>62</v>
      </c>
      <c r="N21" s="17"/>
      <c r="O21" s="17"/>
      <c r="P21" s="17"/>
      <c r="Q21" s="17"/>
      <c r="R21" s="17"/>
      <c r="S21" s="17">
        <v>96</v>
      </c>
      <c r="T21" s="17"/>
      <c r="U21" s="17"/>
      <c r="V21" s="17"/>
      <c r="W21" s="19">
        <f t="shared" si="8"/>
        <v>782</v>
      </c>
      <c r="X21" s="19">
        <f t="shared" si="9"/>
        <v>86.8888888888889</v>
      </c>
      <c r="Y21" s="19">
        <f t="shared" si="10"/>
        <v>4</v>
      </c>
      <c r="Z21" s="20"/>
      <c r="AA21" s="21" t="str">
        <f t="shared" si="0"/>
        <v>A</v>
      </c>
      <c r="AB21" s="21" t="str">
        <f t="shared" si="1"/>
        <v>A</v>
      </c>
      <c r="AC21" s="21" t="str">
        <f t="shared" si="2"/>
        <v>A</v>
      </c>
      <c r="AD21" s="21" t="str">
        <f t="shared" si="3"/>
        <v>A</v>
      </c>
      <c r="AE21" s="21" t="str">
        <f t="shared" si="4"/>
        <v>A</v>
      </c>
      <c r="AF21" s="21" t="str">
        <f t="shared" si="5"/>
        <v>A</v>
      </c>
      <c r="AG21" s="21" t="str">
        <f t="shared" si="6"/>
        <v>A</v>
      </c>
      <c r="AH21" s="21"/>
      <c r="AI21" s="21" t="str">
        <f>IF(M21="AB","AB",IF(M21&gt;=75,"A",IF(M21&gt;=65,"B",IF(M21&gt;=55,"C",IF(M21&gt;=35,"S","F")))))</f>
        <v>C</v>
      </c>
      <c r="AJ21" s="21"/>
      <c r="AK21" s="21"/>
      <c r="AL21" s="21"/>
      <c r="AM21" s="21" t="str">
        <f t="shared" si="7"/>
        <v>F</v>
      </c>
      <c r="AN21" s="21"/>
      <c r="AO21" s="21" t="str">
        <f>IF(S21="AB","AB",IF(S21&gt;=75,"A",IF(S21&gt;=65,"B",IF(S21&gt;=55,"C",IF(S21&gt;=35,"S","F")))))</f>
        <v>A</v>
      </c>
      <c r="AP21" s="21"/>
      <c r="AQ21" s="21"/>
      <c r="AR21" s="21"/>
      <c r="AS21" s="22">
        <v>13</v>
      </c>
      <c r="AT21" s="23">
        <f t="shared" si="11"/>
        <v>8</v>
      </c>
      <c r="AU21" s="23">
        <f t="shared" si="12"/>
        <v>0</v>
      </c>
      <c r="AV21" s="23">
        <f t="shared" si="13"/>
        <v>1</v>
      </c>
      <c r="AW21" s="23">
        <f t="shared" si="14"/>
        <v>0</v>
      </c>
      <c r="AX21" s="23">
        <f t="shared" si="15"/>
        <v>1</v>
      </c>
    </row>
    <row r="22" spans="2:50" s="2" customFormat="1">
      <c r="B22" s="15">
        <v>14</v>
      </c>
      <c r="C22" s="24">
        <v>3537</v>
      </c>
      <c r="D22" s="18" t="s">
        <v>107</v>
      </c>
      <c r="E22" s="18">
        <v>59</v>
      </c>
      <c r="F22" s="18">
        <v>60</v>
      </c>
      <c r="G22" s="18">
        <v>64</v>
      </c>
      <c r="H22" s="18">
        <v>72</v>
      </c>
      <c r="I22" s="18">
        <v>89</v>
      </c>
      <c r="J22" s="18">
        <v>65</v>
      </c>
      <c r="K22" s="18">
        <v>89</v>
      </c>
      <c r="L22" s="18"/>
      <c r="M22" s="18"/>
      <c r="N22" s="18"/>
      <c r="O22" s="18"/>
      <c r="P22" s="18"/>
      <c r="Q22" s="18"/>
      <c r="R22" s="18"/>
      <c r="S22" s="18">
        <v>83</v>
      </c>
      <c r="T22" s="18"/>
      <c r="U22" s="18"/>
      <c r="V22" s="18"/>
      <c r="W22" s="19">
        <f t="shared" si="8"/>
        <v>581</v>
      </c>
      <c r="X22" s="19">
        <f t="shared" si="9"/>
        <v>64.5555555555556</v>
      </c>
      <c r="Y22" s="19">
        <f t="shared" si="10"/>
        <v>11</v>
      </c>
      <c r="Z22" s="20"/>
      <c r="AA22" s="21" t="str">
        <f t="shared" si="0"/>
        <v>C</v>
      </c>
      <c r="AB22" s="21" t="str">
        <f t="shared" si="1"/>
        <v>C</v>
      </c>
      <c r="AC22" s="21" t="str">
        <f t="shared" si="2"/>
        <v>C</v>
      </c>
      <c r="AD22" s="21" t="str">
        <f t="shared" si="3"/>
        <v>B</v>
      </c>
      <c r="AE22" s="21" t="str">
        <f t="shared" si="4"/>
        <v>A</v>
      </c>
      <c r="AF22" s="21" t="str">
        <f t="shared" si="5"/>
        <v>B</v>
      </c>
      <c r="AG22" s="21" t="str">
        <f t="shared" si="6"/>
        <v>A</v>
      </c>
      <c r="AH22" s="21"/>
      <c r="AI22" s="21"/>
      <c r="AJ22" s="21"/>
      <c r="AK22" s="21"/>
      <c r="AL22" s="21"/>
      <c r="AM22" s="21" t="str">
        <f t="shared" si="7"/>
        <v>F</v>
      </c>
      <c r="AN22" s="21"/>
      <c r="AO22" s="21" t="str">
        <f>IF(S22="AB","AB",IF(S22&gt;=75,"A",IF(S22&gt;=65,"B",IF(S22&gt;=55,"C",IF(S22&gt;=35,"S","F")))))</f>
        <v>A</v>
      </c>
      <c r="AP22" s="21"/>
      <c r="AQ22" s="21"/>
      <c r="AR22" s="21"/>
      <c r="AS22" s="22">
        <v>14</v>
      </c>
      <c r="AT22" s="23">
        <f t="shared" si="11"/>
        <v>3</v>
      </c>
      <c r="AU22" s="23">
        <f t="shared" si="12"/>
        <v>2</v>
      </c>
      <c r="AV22" s="23">
        <f t="shared" si="13"/>
        <v>3</v>
      </c>
      <c r="AW22" s="23">
        <f t="shared" si="14"/>
        <v>0</v>
      </c>
      <c r="AX22" s="23">
        <f t="shared" si="15"/>
        <v>1</v>
      </c>
    </row>
    <row r="23" spans="2:50">
      <c r="B23" s="15">
        <v>15</v>
      </c>
      <c r="C23" s="16">
        <v>3563</v>
      </c>
      <c r="D23" s="17" t="s">
        <v>108</v>
      </c>
      <c r="E23" s="18">
        <v>75</v>
      </c>
      <c r="F23" s="17">
        <v>80</v>
      </c>
      <c r="G23" s="17">
        <v>79</v>
      </c>
      <c r="H23" s="17">
        <v>59</v>
      </c>
      <c r="I23" s="17">
        <v>93</v>
      </c>
      <c r="J23" s="17">
        <v>70</v>
      </c>
      <c r="K23" s="17">
        <v>89</v>
      </c>
      <c r="L23" s="17">
        <v>73</v>
      </c>
      <c r="M23" s="17"/>
      <c r="N23" s="17"/>
      <c r="O23" s="17"/>
      <c r="P23" s="17"/>
      <c r="Q23" s="17"/>
      <c r="R23" s="17">
        <v>90</v>
      </c>
      <c r="S23" s="17"/>
      <c r="T23" s="17"/>
      <c r="U23" s="17"/>
      <c r="V23" s="17"/>
      <c r="W23" s="19">
        <f t="shared" si="8"/>
        <v>708</v>
      </c>
      <c r="X23" s="19">
        <f t="shared" si="9"/>
        <v>78.6666666666667</v>
      </c>
      <c r="Y23" s="19">
        <f t="shared" si="10"/>
        <v>6</v>
      </c>
      <c r="Z23" s="20"/>
      <c r="AA23" s="21" t="str">
        <f t="shared" si="0"/>
        <v>A</v>
      </c>
      <c r="AB23" s="21" t="str">
        <f t="shared" si="1"/>
        <v>A</v>
      </c>
      <c r="AC23" s="21" t="str">
        <f t="shared" si="2"/>
        <v>A</v>
      </c>
      <c r="AD23" s="21" t="str">
        <f t="shared" si="3"/>
        <v>C</v>
      </c>
      <c r="AE23" s="21" t="str">
        <f t="shared" si="4"/>
        <v>A</v>
      </c>
      <c r="AF23" s="21" t="str">
        <f t="shared" si="5"/>
        <v>B</v>
      </c>
      <c r="AG23" s="21" t="str">
        <f t="shared" si="6"/>
        <v>A</v>
      </c>
      <c r="AH23" s="21" t="str">
        <f>IF(L23="AB","AB",IF(L23&gt;=75,"A",IF(L23&gt;=65,"B",IF(L23&gt;=55,"C",IF(L23&gt;=35,"S","F")))))</f>
        <v>B</v>
      </c>
      <c r="AI23" s="21"/>
      <c r="AJ23" s="21"/>
      <c r="AK23" s="21"/>
      <c r="AL23" s="21"/>
      <c r="AM23" s="21" t="str">
        <f t="shared" si="7"/>
        <v>F</v>
      </c>
      <c r="AN23" s="21" t="str">
        <f>IF(R23="AB","AB",IF(R23&gt;=75,"A",IF(R23&gt;=65,"B",IF(R23&gt;=55,"C",IF(R23&gt;=35,"S","F")))))</f>
        <v>A</v>
      </c>
      <c r="AO23" s="21"/>
      <c r="AP23" s="21"/>
      <c r="AQ23" s="21"/>
      <c r="AR23" s="21"/>
      <c r="AS23" s="22">
        <v>15</v>
      </c>
      <c r="AT23" s="23">
        <f t="shared" si="11"/>
        <v>6</v>
      </c>
      <c r="AU23" s="23">
        <f t="shared" si="12"/>
        <v>2</v>
      </c>
      <c r="AV23" s="23">
        <f t="shared" si="13"/>
        <v>1</v>
      </c>
      <c r="AW23" s="23">
        <f t="shared" si="14"/>
        <v>0</v>
      </c>
      <c r="AX23" s="23">
        <f t="shared" si="15"/>
        <v>1</v>
      </c>
    </row>
    <row r="24" spans="2:50">
      <c r="B24" s="15">
        <v>16</v>
      </c>
      <c r="C24" s="16">
        <v>3583</v>
      </c>
      <c r="D24" s="17" t="s">
        <v>109</v>
      </c>
      <c r="E24" s="18">
        <v>79</v>
      </c>
      <c r="F24" s="17">
        <v>86</v>
      </c>
      <c r="G24" s="17">
        <v>93</v>
      </c>
      <c r="H24" s="17">
        <v>91</v>
      </c>
      <c r="I24" s="17">
        <v>88</v>
      </c>
      <c r="J24" s="17">
        <v>83</v>
      </c>
      <c r="K24" s="17">
        <v>89</v>
      </c>
      <c r="L24" s="17">
        <v>83</v>
      </c>
      <c r="M24" s="17"/>
      <c r="N24" s="17"/>
      <c r="O24" s="17"/>
      <c r="P24" s="17"/>
      <c r="Q24" s="17"/>
      <c r="R24" s="17"/>
      <c r="S24" s="17">
        <v>93</v>
      </c>
      <c r="T24" s="17"/>
      <c r="U24" s="17"/>
      <c r="V24" s="17"/>
      <c r="W24" s="19">
        <f t="shared" si="8"/>
        <v>785</v>
      </c>
      <c r="X24" s="19">
        <f t="shared" si="9"/>
        <v>87.2222222222222</v>
      </c>
      <c r="Y24" s="19">
        <f t="shared" si="10"/>
        <v>3</v>
      </c>
      <c r="Z24" s="20"/>
      <c r="AA24" s="21" t="str">
        <f t="shared" si="0"/>
        <v>A</v>
      </c>
      <c r="AB24" s="21" t="str">
        <f t="shared" si="1"/>
        <v>A</v>
      </c>
      <c r="AC24" s="21" t="str">
        <f t="shared" si="2"/>
        <v>A</v>
      </c>
      <c r="AD24" s="21" t="str">
        <f t="shared" si="3"/>
        <v>A</v>
      </c>
      <c r="AE24" s="21" t="str">
        <f t="shared" si="4"/>
        <v>A</v>
      </c>
      <c r="AF24" s="21" t="str">
        <f t="shared" si="5"/>
        <v>A</v>
      </c>
      <c r="AG24" s="21" t="str">
        <f t="shared" si="6"/>
        <v>A</v>
      </c>
      <c r="AH24" s="21" t="str">
        <f>IF(L24="AB","AB",IF(L24&gt;=75,"A",IF(L24&gt;=65,"B",IF(L24&gt;=55,"C",IF(L24&gt;=35,"S","F")))))</f>
        <v>A</v>
      </c>
      <c r="AI24" s="21"/>
      <c r="AJ24" s="21"/>
      <c r="AK24" s="21"/>
      <c r="AL24" s="21"/>
      <c r="AM24" s="21" t="str">
        <f t="shared" si="7"/>
        <v>F</v>
      </c>
      <c r="AN24" s="21"/>
      <c r="AO24" s="21" t="str">
        <f>IF(S24="AB","AB",IF(S24&gt;=75,"A",IF(S24&gt;=65,"B",IF(S24&gt;=55,"C",IF(S24&gt;=35,"S","F")))))</f>
        <v>A</v>
      </c>
      <c r="AP24" s="21"/>
      <c r="AQ24" s="21"/>
      <c r="AR24" s="21"/>
      <c r="AS24" s="22">
        <v>16</v>
      </c>
      <c r="AT24" s="23">
        <f t="shared" si="11"/>
        <v>9</v>
      </c>
      <c r="AU24" s="23">
        <f t="shared" si="12"/>
        <v>0</v>
      </c>
      <c r="AV24" s="23">
        <f t="shared" si="13"/>
        <v>0</v>
      </c>
      <c r="AW24" s="23">
        <f t="shared" si="14"/>
        <v>0</v>
      </c>
      <c r="AX24" s="23">
        <f t="shared" si="15"/>
        <v>1</v>
      </c>
    </row>
    <row r="25" spans="2:50">
      <c r="B25" s="15">
        <v>17</v>
      </c>
      <c r="C25" s="16">
        <v>4490</v>
      </c>
      <c r="D25" s="17" t="s">
        <v>110</v>
      </c>
      <c r="E25" s="18">
        <v>69</v>
      </c>
      <c r="F25" s="17">
        <v>80</v>
      </c>
      <c r="G25" s="17">
        <v>90</v>
      </c>
      <c r="H25" s="17">
        <v>90</v>
      </c>
      <c r="I25" s="17">
        <v>96</v>
      </c>
      <c r="J25" s="17">
        <v>81</v>
      </c>
      <c r="K25" s="17">
        <v>85</v>
      </c>
      <c r="L25" s="17"/>
      <c r="M25" s="17"/>
      <c r="N25" s="17"/>
      <c r="O25" s="17"/>
      <c r="P25" s="17"/>
      <c r="Q25" s="17"/>
      <c r="R25" s="17"/>
      <c r="S25" s="17">
        <v>93</v>
      </c>
      <c r="T25" s="17"/>
      <c r="U25" s="17"/>
      <c r="V25" s="17"/>
      <c r="W25" s="19">
        <f t="shared" si="8"/>
        <v>684</v>
      </c>
      <c r="X25" s="19">
        <f t="shared" si="9"/>
        <v>76</v>
      </c>
      <c r="Y25" s="19">
        <f t="shared" si="10"/>
        <v>7</v>
      </c>
      <c r="Z25" s="20"/>
      <c r="AA25" s="21" t="str">
        <f t="shared" si="0"/>
        <v>B</v>
      </c>
      <c r="AB25" s="21" t="str">
        <f t="shared" si="1"/>
        <v>A</v>
      </c>
      <c r="AC25" s="21" t="str">
        <f t="shared" si="2"/>
        <v>A</v>
      </c>
      <c r="AD25" s="21" t="str">
        <f t="shared" si="3"/>
        <v>A</v>
      </c>
      <c r="AE25" s="21" t="str">
        <f t="shared" si="4"/>
        <v>A</v>
      </c>
      <c r="AF25" s="21" t="str">
        <f t="shared" si="5"/>
        <v>A</v>
      </c>
      <c r="AG25" s="21" t="str">
        <f t="shared" si="6"/>
        <v>A</v>
      </c>
      <c r="AH25" s="21"/>
      <c r="AI25" s="21"/>
      <c r="AJ25" s="21"/>
      <c r="AK25" s="21"/>
      <c r="AL25" s="21"/>
      <c r="AM25" s="21" t="str">
        <f t="shared" si="7"/>
        <v>F</v>
      </c>
      <c r="AN25" s="21"/>
      <c r="AO25" s="21" t="str">
        <f>IF(S25="AB","AB",IF(S25&gt;=75,"A",IF(S25&gt;=65,"B",IF(S25&gt;=55,"C",IF(S25&gt;=35,"S","F")))))</f>
        <v>A</v>
      </c>
      <c r="AP25" s="21"/>
      <c r="AQ25" s="21"/>
      <c r="AR25" s="21"/>
      <c r="AS25" s="22">
        <v>17</v>
      </c>
      <c r="AT25" s="23">
        <f t="shared" si="11"/>
        <v>7</v>
      </c>
      <c r="AU25" s="23">
        <f t="shared" si="12"/>
        <v>1</v>
      </c>
      <c r="AV25" s="23">
        <f t="shared" si="13"/>
        <v>0</v>
      </c>
      <c r="AW25" s="23">
        <f t="shared" si="14"/>
        <v>0</v>
      </c>
      <c r="AX25" s="23">
        <f t="shared" si="15"/>
        <v>1</v>
      </c>
    </row>
    <row r="26" spans="2:50">
      <c r="B26" s="15">
        <v>18</v>
      </c>
      <c r="C26" s="24">
        <v>4509</v>
      </c>
      <c r="D26" s="18" t="s">
        <v>111</v>
      </c>
      <c r="E26" s="18">
        <v>33</v>
      </c>
      <c r="F26" s="18">
        <v>54</v>
      </c>
      <c r="G26" s="18">
        <v>52</v>
      </c>
      <c r="H26" s="18">
        <v>56</v>
      </c>
      <c r="I26" s="18">
        <v>88</v>
      </c>
      <c r="J26" s="18">
        <v>56</v>
      </c>
      <c r="K26" s="18">
        <v>71</v>
      </c>
      <c r="L26" s="18">
        <v>67</v>
      </c>
      <c r="M26" s="18"/>
      <c r="N26" s="17"/>
      <c r="O26" s="17"/>
      <c r="P26" s="17"/>
      <c r="Q26" s="17"/>
      <c r="R26" s="17"/>
      <c r="S26" s="17"/>
      <c r="T26" s="17"/>
      <c r="U26" s="17"/>
      <c r="V26" s="17">
        <v>67</v>
      </c>
      <c r="W26" s="19">
        <f t="shared" si="8"/>
        <v>544</v>
      </c>
      <c r="X26" s="19">
        <f t="shared" si="9"/>
        <v>60.4444444444444</v>
      </c>
      <c r="Y26" s="19">
        <f t="shared" si="10"/>
        <v>16</v>
      </c>
      <c r="Z26" s="20"/>
      <c r="AA26" s="21" t="str">
        <f t="shared" si="0"/>
        <v>F</v>
      </c>
      <c r="AB26" s="21" t="str">
        <f t="shared" si="1"/>
        <v>S</v>
      </c>
      <c r="AC26" s="21" t="str">
        <f t="shared" si="2"/>
        <v>S</v>
      </c>
      <c r="AD26" s="21" t="str">
        <f t="shared" si="3"/>
        <v>C</v>
      </c>
      <c r="AE26" s="21" t="str">
        <f t="shared" si="4"/>
        <v>A</v>
      </c>
      <c r="AF26" s="21" t="str">
        <f t="shared" si="5"/>
        <v>C</v>
      </c>
      <c r="AG26" s="21" t="str">
        <f t="shared" si="6"/>
        <v>B</v>
      </c>
      <c r="AH26" s="21" t="str">
        <f>IF(L26="AB","AB",IF(L26&gt;=75,"A",IF(L26&gt;=65,"B",IF(L26&gt;=55,"C",IF(L26&gt;=35,"S","F")))))</f>
        <v>B</v>
      </c>
      <c r="AI26" s="21"/>
      <c r="AJ26" s="21"/>
      <c r="AK26" s="21"/>
      <c r="AL26" s="21"/>
      <c r="AM26" s="21" t="str">
        <f t="shared" si="7"/>
        <v>F</v>
      </c>
      <c r="AN26" s="21"/>
      <c r="AO26" s="21"/>
      <c r="AP26" s="21"/>
      <c r="AQ26" s="21"/>
      <c r="AR26" s="21" t="str">
        <f>IF(V26="AB","AB",IF(V26&gt;=75,"A",IF(V26&gt;=65,"B",IF(V26&gt;=55,"C",IF(V26&gt;=35,"S","F")))))</f>
        <v>B</v>
      </c>
      <c r="AS26" s="22">
        <v>18</v>
      </c>
      <c r="AT26" s="23">
        <f t="shared" si="11"/>
        <v>1</v>
      </c>
      <c r="AU26" s="23">
        <f t="shared" si="12"/>
        <v>3</v>
      </c>
      <c r="AV26" s="23">
        <f t="shared" si="13"/>
        <v>2</v>
      </c>
      <c r="AW26" s="23">
        <f t="shared" si="14"/>
        <v>2</v>
      </c>
      <c r="AX26" s="23">
        <f t="shared" si="15"/>
        <v>2</v>
      </c>
    </row>
    <row r="27" spans="2:50">
      <c r="B27" s="15">
        <v>19</v>
      </c>
      <c r="C27" s="25">
        <v>4523</v>
      </c>
      <c r="D27" s="26" t="s">
        <v>112</v>
      </c>
      <c r="E27" s="18">
        <v>54</v>
      </c>
      <c r="F27" s="17">
        <v>56</v>
      </c>
      <c r="G27" s="17">
        <v>70</v>
      </c>
      <c r="H27" s="17">
        <v>46</v>
      </c>
      <c r="I27" s="17">
        <v>90</v>
      </c>
      <c r="J27" s="17">
        <v>57</v>
      </c>
      <c r="K27" s="17">
        <v>78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>
        <v>48</v>
      </c>
      <c r="W27" s="19">
        <f t="shared" si="8"/>
        <v>499</v>
      </c>
      <c r="X27" s="19">
        <f t="shared" si="9"/>
        <v>55.4444444444444</v>
      </c>
      <c r="Y27" s="19">
        <f t="shared" si="10"/>
        <v>23</v>
      </c>
      <c r="Z27" s="20"/>
      <c r="AA27" s="21" t="str">
        <f t="shared" si="0"/>
        <v>S</v>
      </c>
      <c r="AB27" s="21" t="str">
        <f t="shared" si="1"/>
        <v>C</v>
      </c>
      <c r="AC27" s="21" t="str">
        <f t="shared" si="2"/>
        <v>B</v>
      </c>
      <c r="AD27" s="21" t="str">
        <f t="shared" si="3"/>
        <v>S</v>
      </c>
      <c r="AE27" s="21" t="str">
        <f t="shared" si="4"/>
        <v>A</v>
      </c>
      <c r="AF27" s="21" t="str">
        <f t="shared" si="5"/>
        <v>C</v>
      </c>
      <c r="AG27" s="21" t="str">
        <f t="shared" si="6"/>
        <v>A</v>
      </c>
      <c r="AH27" s="21"/>
      <c r="AI27" s="21"/>
      <c r="AJ27" s="21"/>
      <c r="AK27" s="21"/>
      <c r="AL27" s="21"/>
      <c r="AM27" s="21" t="str">
        <f t="shared" si="7"/>
        <v>F</v>
      </c>
      <c r="AN27" s="21"/>
      <c r="AO27" s="21"/>
      <c r="AP27" s="21"/>
      <c r="AQ27" s="21"/>
      <c r="AR27" s="21" t="str">
        <f>IF(V27="AB","AB",IF(V27&gt;=75,"A",IF(V27&gt;=65,"B",IF(V27&gt;=55,"C",IF(V27&gt;=35,"S","F")))))</f>
        <v>S</v>
      </c>
      <c r="AS27" s="22">
        <v>19</v>
      </c>
      <c r="AT27" s="23">
        <f t="shared" si="11"/>
        <v>2</v>
      </c>
      <c r="AU27" s="23">
        <f t="shared" si="12"/>
        <v>1</v>
      </c>
      <c r="AV27" s="23">
        <f t="shared" si="13"/>
        <v>2</v>
      </c>
      <c r="AW27" s="23">
        <f t="shared" si="14"/>
        <v>3</v>
      </c>
      <c r="AX27" s="23">
        <f t="shared" si="15"/>
        <v>1</v>
      </c>
    </row>
    <row r="28" spans="2:50">
      <c r="B28" s="15">
        <v>20</v>
      </c>
      <c r="C28" s="16">
        <v>4584</v>
      </c>
      <c r="D28" s="17" t="s">
        <v>113</v>
      </c>
      <c r="E28" s="18">
        <v>39</v>
      </c>
      <c r="F28" s="17">
        <v>41</v>
      </c>
      <c r="G28" s="17">
        <v>55</v>
      </c>
      <c r="H28" s="17">
        <v>54</v>
      </c>
      <c r="I28" s="17">
        <v>83</v>
      </c>
      <c r="J28" s="17">
        <v>57</v>
      </c>
      <c r="K28" s="17">
        <v>79</v>
      </c>
      <c r="L28" s="17"/>
      <c r="M28" s="17"/>
      <c r="N28" s="17">
        <v>96</v>
      </c>
      <c r="O28" s="17"/>
      <c r="P28" s="17"/>
      <c r="Q28" s="17"/>
      <c r="R28" s="17"/>
      <c r="S28" s="17"/>
      <c r="T28" s="17"/>
      <c r="U28" s="17"/>
      <c r="V28" s="17">
        <v>35</v>
      </c>
      <c r="W28" s="19">
        <f t="shared" si="8"/>
        <v>539</v>
      </c>
      <c r="X28" s="19">
        <f t="shared" si="9"/>
        <v>59.8888888888889</v>
      </c>
      <c r="Y28" s="19">
        <f t="shared" si="10"/>
        <v>17</v>
      </c>
      <c r="Z28" s="20"/>
      <c r="AA28" s="21" t="str">
        <f t="shared" si="0"/>
        <v>S</v>
      </c>
      <c r="AB28" s="21" t="str">
        <f t="shared" si="1"/>
        <v>S</v>
      </c>
      <c r="AC28" s="21" t="str">
        <f t="shared" si="2"/>
        <v>C</v>
      </c>
      <c r="AD28" s="21" t="str">
        <f t="shared" si="3"/>
        <v>S</v>
      </c>
      <c r="AE28" s="21" t="str">
        <f t="shared" si="4"/>
        <v>A</v>
      </c>
      <c r="AF28" s="21" t="str">
        <f t="shared" si="5"/>
        <v>C</v>
      </c>
      <c r="AG28" s="21" t="str">
        <f t="shared" si="6"/>
        <v>A</v>
      </c>
      <c r="AH28" s="21"/>
      <c r="AI28" s="21"/>
      <c r="AJ28" s="21" t="str">
        <f>IF(N28="AB","AB",IF(N28&gt;=75,"A",IF(N28&gt;=65,"B",IF(N28&gt;=55,"C",IF(N28&gt;=35,"S","F")))))</f>
        <v>A</v>
      </c>
      <c r="AK28" s="21"/>
      <c r="AL28" s="21"/>
      <c r="AM28" s="21" t="str">
        <f t="shared" si="7"/>
        <v>F</v>
      </c>
      <c r="AN28" s="21"/>
      <c r="AO28" s="21"/>
      <c r="AP28" s="21"/>
      <c r="AQ28" s="21"/>
      <c r="AR28" s="21" t="str">
        <f>IF(V28="AB","AB",IF(V28&gt;=75,"A",IF(V28&gt;=65,"B",IF(V28&gt;=55,"C",IF(V28&gt;=35,"S","F")))))</f>
        <v>S</v>
      </c>
      <c r="AS28" s="22">
        <v>20</v>
      </c>
      <c r="AT28" s="23">
        <f t="shared" si="11"/>
        <v>3</v>
      </c>
      <c r="AU28" s="23">
        <f t="shared" si="12"/>
        <v>0</v>
      </c>
      <c r="AV28" s="23">
        <f t="shared" si="13"/>
        <v>2</v>
      </c>
      <c r="AW28" s="23">
        <f t="shared" si="14"/>
        <v>4</v>
      </c>
      <c r="AX28" s="23">
        <f t="shared" si="15"/>
        <v>1</v>
      </c>
    </row>
    <row r="29" spans="2:50">
      <c r="B29" s="15">
        <v>21</v>
      </c>
      <c r="C29" s="16">
        <v>4610</v>
      </c>
      <c r="D29" s="17" t="s">
        <v>114</v>
      </c>
      <c r="E29" s="18">
        <v>24</v>
      </c>
      <c r="F29" s="17">
        <v>35</v>
      </c>
      <c r="G29" s="17">
        <v>33</v>
      </c>
      <c r="H29" s="17">
        <v>45</v>
      </c>
      <c r="I29" s="17">
        <v>88</v>
      </c>
      <c r="J29" s="17">
        <v>54</v>
      </c>
      <c r="K29" s="17">
        <v>51</v>
      </c>
      <c r="L29" s="17">
        <v>60</v>
      </c>
      <c r="M29" s="17"/>
      <c r="N29" s="17"/>
      <c r="O29" s="17"/>
      <c r="P29" s="17"/>
      <c r="Q29" s="17"/>
      <c r="R29" s="17"/>
      <c r="S29" s="17"/>
      <c r="T29" s="17"/>
      <c r="U29" s="17"/>
      <c r="V29" s="17">
        <v>64</v>
      </c>
      <c r="W29" s="19">
        <f t="shared" si="8"/>
        <v>454</v>
      </c>
      <c r="X29" s="19">
        <f t="shared" si="9"/>
        <v>50.4444444444444</v>
      </c>
      <c r="Y29" s="19">
        <f t="shared" si="10"/>
        <v>26</v>
      </c>
      <c r="Z29" s="20"/>
      <c r="AA29" s="21" t="str">
        <f t="shared" si="0"/>
        <v>F</v>
      </c>
      <c r="AB29" s="21" t="str">
        <f t="shared" si="1"/>
        <v>S</v>
      </c>
      <c r="AC29" s="21" t="str">
        <f t="shared" si="2"/>
        <v>F</v>
      </c>
      <c r="AD29" s="21" t="str">
        <f t="shared" si="3"/>
        <v>S</v>
      </c>
      <c r="AE29" s="21" t="str">
        <f t="shared" si="4"/>
        <v>A</v>
      </c>
      <c r="AF29" s="21" t="str">
        <f t="shared" si="5"/>
        <v>S</v>
      </c>
      <c r="AG29" s="21" t="str">
        <f t="shared" si="6"/>
        <v>S</v>
      </c>
      <c r="AH29" s="21" t="str">
        <f>IF(L29="AB","AB",IF(L29&gt;=75,"A",IF(L29&gt;=65,"B",IF(L29&gt;=55,"C",IF(L29&gt;=35,"S","F")))))</f>
        <v>C</v>
      </c>
      <c r="AI29" s="21"/>
      <c r="AJ29" s="21"/>
      <c r="AK29" s="21"/>
      <c r="AL29" s="21"/>
      <c r="AM29" s="21" t="str">
        <f t="shared" si="7"/>
        <v>F</v>
      </c>
      <c r="AN29" s="21"/>
      <c r="AO29" s="21"/>
      <c r="AP29" s="21"/>
      <c r="AQ29" s="21"/>
      <c r="AR29" s="21" t="str">
        <f>IF(V29="AB","AB",IF(V29&gt;=75,"A",IF(V29&gt;=65,"B",IF(V29&gt;=55,"C",IF(V29&gt;=35,"S","F")))))</f>
        <v>C</v>
      </c>
      <c r="AS29" s="22">
        <v>21</v>
      </c>
      <c r="AT29" s="23">
        <f t="shared" si="11"/>
        <v>1</v>
      </c>
      <c r="AU29" s="23">
        <f t="shared" si="12"/>
        <v>0</v>
      </c>
      <c r="AV29" s="23">
        <f t="shared" si="13"/>
        <v>2</v>
      </c>
      <c r="AW29" s="23">
        <f t="shared" si="14"/>
        <v>4</v>
      </c>
      <c r="AX29" s="23">
        <f t="shared" si="15"/>
        <v>3</v>
      </c>
    </row>
    <row r="30" spans="2:50">
      <c r="B30" s="15">
        <v>22</v>
      </c>
      <c r="C30" s="16">
        <v>4611</v>
      </c>
      <c r="D30" s="17" t="s">
        <v>115</v>
      </c>
      <c r="E30" s="18">
        <v>33</v>
      </c>
      <c r="F30" s="17">
        <v>45</v>
      </c>
      <c r="G30" s="17">
        <v>45</v>
      </c>
      <c r="H30" s="17">
        <v>55</v>
      </c>
      <c r="I30" s="17">
        <v>83</v>
      </c>
      <c r="J30" s="17">
        <v>47</v>
      </c>
      <c r="K30" s="17">
        <v>54</v>
      </c>
      <c r="L30" s="17"/>
      <c r="M30" s="17"/>
      <c r="N30" s="17"/>
      <c r="O30" s="17">
        <v>84</v>
      </c>
      <c r="P30" s="17"/>
      <c r="Q30" s="17"/>
      <c r="R30" s="17"/>
      <c r="S30" s="17">
        <v>70</v>
      </c>
      <c r="T30" s="17"/>
      <c r="U30" s="17"/>
      <c r="V30" s="17"/>
      <c r="W30" s="19">
        <f t="shared" si="8"/>
        <v>516</v>
      </c>
      <c r="X30" s="19">
        <f t="shared" si="9"/>
        <v>57.3333333333333</v>
      </c>
      <c r="Y30" s="19">
        <f t="shared" si="10"/>
        <v>20</v>
      </c>
      <c r="Z30" s="20"/>
      <c r="AA30" s="21" t="str">
        <f t="shared" si="0"/>
        <v>F</v>
      </c>
      <c r="AB30" s="21" t="str">
        <f t="shared" si="1"/>
        <v>S</v>
      </c>
      <c r="AC30" s="21" t="str">
        <f t="shared" si="2"/>
        <v>S</v>
      </c>
      <c r="AD30" s="21" t="str">
        <f t="shared" si="3"/>
        <v>C</v>
      </c>
      <c r="AE30" s="21" t="str">
        <f t="shared" si="4"/>
        <v>A</v>
      </c>
      <c r="AF30" s="21" t="str">
        <f t="shared" si="5"/>
        <v>S</v>
      </c>
      <c r="AG30" s="21" t="str">
        <f t="shared" si="6"/>
        <v>S</v>
      </c>
      <c r="AH30" s="21"/>
      <c r="AI30" s="21"/>
      <c r="AJ30" s="21"/>
      <c r="AK30" s="21" t="str">
        <f>IF(O30="AB","AB",IF(O30&gt;=75,"A",IF(O30&gt;=65,"B",IF(O30&gt;=55,"C",IF(O30&gt;=35,"S","F")))))</f>
        <v>A</v>
      </c>
      <c r="AL30" s="21"/>
      <c r="AM30" s="21" t="str">
        <f t="shared" si="7"/>
        <v>F</v>
      </c>
      <c r="AN30" s="21"/>
      <c r="AO30" s="21" t="str">
        <f>IF(S30="AB","AB",IF(S30&gt;=75,"A",IF(S30&gt;=65,"B",IF(S30&gt;=55,"C",IF(S30&gt;=35,"S","F")))))</f>
        <v>B</v>
      </c>
      <c r="AP30" s="21"/>
      <c r="AQ30" s="21"/>
      <c r="AR30" s="21"/>
      <c r="AS30" s="22">
        <v>22</v>
      </c>
      <c r="AT30" s="23">
        <f t="shared" si="11"/>
        <v>2</v>
      </c>
      <c r="AU30" s="23">
        <f t="shared" si="12"/>
        <v>1</v>
      </c>
      <c r="AV30" s="23">
        <f t="shared" si="13"/>
        <v>1</v>
      </c>
      <c r="AW30" s="23">
        <f t="shared" si="14"/>
        <v>4</v>
      </c>
      <c r="AX30" s="23">
        <f t="shared" si="15"/>
        <v>2</v>
      </c>
    </row>
    <row r="31" spans="2:50">
      <c r="B31" s="15">
        <v>23</v>
      </c>
      <c r="C31" s="16">
        <v>5164</v>
      </c>
      <c r="D31" s="17" t="s">
        <v>116</v>
      </c>
      <c r="E31" s="18">
        <v>49</v>
      </c>
      <c r="F31" s="17">
        <v>64</v>
      </c>
      <c r="G31" s="17">
        <v>76</v>
      </c>
      <c r="H31" s="17">
        <v>71</v>
      </c>
      <c r="I31" s="17">
        <v>92</v>
      </c>
      <c r="J31" s="17">
        <v>66</v>
      </c>
      <c r="K31" s="17">
        <v>87</v>
      </c>
      <c r="L31" s="17">
        <v>65</v>
      </c>
      <c r="M31" s="17"/>
      <c r="N31" s="17"/>
      <c r="O31" s="17"/>
      <c r="P31" s="17"/>
      <c r="Q31" s="17"/>
      <c r="R31" s="17">
        <v>62</v>
      </c>
      <c r="S31" s="17"/>
      <c r="T31" s="17"/>
      <c r="U31" s="17"/>
      <c r="V31" s="17"/>
      <c r="W31" s="19">
        <f t="shared" si="8"/>
        <v>632</v>
      </c>
      <c r="X31" s="19">
        <f t="shared" si="9"/>
        <v>70.2222222222222</v>
      </c>
      <c r="Y31" s="19">
        <f t="shared" si="10"/>
        <v>9</v>
      </c>
      <c r="Z31" s="20"/>
      <c r="AA31" s="21" t="str">
        <f t="shared" si="0"/>
        <v>S</v>
      </c>
      <c r="AB31" s="21" t="str">
        <f t="shared" si="1"/>
        <v>C</v>
      </c>
      <c r="AC31" s="21" t="str">
        <f t="shared" si="2"/>
        <v>A</v>
      </c>
      <c r="AD31" s="21" t="str">
        <f t="shared" si="3"/>
        <v>B</v>
      </c>
      <c r="AE31" s="21" t="str">
        <f t="shared" si="4"/>
        <v>A</v>
      </c>
      <c r="AF31" s="21" t="str">
        <f t="shared" si="5"/>
        <v>B</v>
      </c>
      <c r="AG31" s="21" t="str">
        <f t="shared" si="6"/>
        <v>A</v>
      </c>
      <c r="AH31" s="21" t="str">
        <f>IF(L31="AB","AB",IF(L31&gt;=75,"A",IF(L31&gt;=65,"B",IF(L31&gt;=55,"C",IF(L31&gt;=35,"S","F")))))</f>
        <v>B</v>
      </c>
      <c r="AI31" s="21"/>
      <c r="AJ31" s="21"/>
      <c r="AK31" s="21"/>
      <c r="AL31" s="21"/>
      <c r="AM31" s="21" t="str">
        <f t="shared" si="7"/>
        <v>F</v>
      </c>
      <c r="AN31" s="21" t="str">
        <f>IF(R31="AB","AB",IF(R31&gt;=75,"A",IF(R31&gt;=65,"B",IF(R31&gt;=55,"C",IF(R31&gt;=35,"S","F")))))</f>
        <v>C</v>
      </c>
      <c r="AO31" s="21"/>
      <c r="AP31" s="21"/>
      <c r="AQ31" s="21"/>
      <c r="AR31" s="21"/>
      <c r="AS31" s="22">
        <v>23</v>
      </c>
      <c r="AT31" s="23">
        <f t="shared" si="11"/>
        <v>3</v>
      </c>
      <c r="AU31" s="23">
        <f t="shared" si="12"/>
        <v>3</v>
      </c>
      <c r="AV31" s="23">
        <f t="shared" si="13"/>
        <v>2</v>
      </c>
      <c r="AW31" s="23">
        <f t="shared" si="14"/>
        <v>1</v>
      </c>
      <c r="AX31" s="23">
        <f t="shared" si="15"/>
        <v>1</v>
      </c>
    </row>
    <row r="32" spans="2:50">
      <c r="B32" s="15">
        <v>24</v>
      </c>
      <c r="C32" s="16">
        <v>5168</v>
      </c>
      <c r="D32" s="17" t="s">
        <v>117</v>
      </c>
      <c r="E32" s="18">
        <v>44</v>
      </c>
      <c r="F32" s="17">
        <v>44</v>
      </c>
      <c r="G32" s="17">
        <v>51</v>
      </c>
      <c r="H32" s="17">
        <v>49</v>
      </c>
      <c r="I32" s="17">
        <v>84</v>
      </c>
      <c r="J32" s="17">
        <v>55</v>
      </c>
      <c r="K32" s="17">
        <v>82</v>
      </c>
      <c r="L32" s="17">
        <v>74</v>
      </c>
      <c r="M32" s="17"/>
      <c r="N32" s="17"/>
      <c r="O32" s="17"/>
      <c r="P32" s="17"/>
      <c r="Q32" s="17"/>
      <c r="R32" s="17">
        <v>50</v>
      </c>
      <c r="S32" s="17"/>
      <c r="T32" s="17"/>
      <c r="U32" s="17"/>
      <c r="V32" s="17"/>
      <c r="W32" s="19">
        <f t="shared" si="8"/>
        <v>533</v>
      </c>
      <c r="X32" s="19">
        <f t="shared" si="9"/>
        <v>59.2222222222222</v>
      </c>
      <c r="Y32" s="19">
        <f t="shared" si="10"/>
        <v>18</v>
      </c>
      <c r="Z32" s="20"/>
      <c r="AA32" s="21" t="str">
        <f t="shared" si="0"/>
        <v>S</v>
      </c>
      <c r="AB32" s="21" t="str">
        <f t="shared" si="1"/>
        <v>S</v>
      </c>
      <c r="AC32" s="21" t="str">
        <f t="shared" si="2"/>
        <v>S</v>
      </c>
      <c r="AD32" s="21" t="str">
        <f t="shared" si="3"/>
        <v>S</v>
      </c>
      <c r="AE32" s="21" t="str">
        <f t="shared" si="4"/>
        <v>A</v>
      </c>
      <c r="AF32" s="21" t="str">
        <f t="shared" si="5"/>
        <v>C</v>
      </c>
      <c r="AG32" s="21" t="str">
        <f t="shared" si="6"/>
        <v>A</v>
      </c>
      <c r="AH32" s="21" t="str">
        <f>IF(L32="AB","AB",IF(L32&gt;=75,"A",IF(L32&gt;=65,"B",IF(L32&gt;=55,"C",IF(L32&gt;=35,"S","F")))))</f>
        <v>B</v>
      </c>
      <c r="AI32" s="21"/>
      <c r="AJ32" s="21"/>
      <c r="AK32" s="21"/>
      <c r="AL32" s="21"/>
      <c r="AM32" s="21" t="str">
        <f t="shared" si="7"/>
        <v>F</v>
      </c>
      <c r="AN32" s="21" t="str">
        <f>IF(R32="AB","AB",IF(R32&gt;=75,"A",IF(R32&gt;=65,"B",IF(R32&gt;=55,"C",IF(R32&gt;=35,"S","F")))))</f>
        <v>S</v>
      </c>
      <c r="AO32" s="21"/>
      <c r="AP32" s="21"/>
      <c r="AQ32" s="21"/>
      <c r="AR32" s="21"/>
      <c r="AS32" s="22">
        <v>24</v>
      </c>
      <c r="AT32" s="23">
        <f t="shared" si="11"/>
        <v>2</v>
      </c>
      <c r="AU32" s="23">
        <f t="shared" si="12"/>
        <v>1</v>
      </c>
      <c r="AV32" s="23">
        <f t="shared" si="13"/>
        <v>1</v>
      </c>
      <c r="AW32" s="23">
        <f t="shared" si="14"/>
        <v>5</v>
      </c>
      <c r="AX32" s="23">
        <f t="shared" si="15"/>
        <v>1</v>
      </c>
    </row>
    <row r="33" spans="2:50">
      <c r="B33" s="15">
        <v>25</v>
      </c>
      <c r="C33" s="24">
        <v>5185</v>
      </c>
      <c r="D33" s="18" t="s">
        <v>118</v>
      </c>
      <c r="E33" s="18">
        <v>33</v>
      </c>
      <c r="F33" s="18">
        <v>48</v>
      </c>
      <c r="G33" s="18">
        <v>46</v>
      </c>
      <c r="H33" s="18">
        <v>42</v>
      </c>
      <c r="I33" s="18">
        <v>72</v>
      </c>
      <c r="J33" s="18">
        <v>61</v>
      </c>
      <c r="K33" s="18">
        <v>76</v>
      </c>
      <c r="L33" s="18"/>
      <c r="M33" s="18"/>
      <c r="N33" s="17"/>
      <c r="O33" s="17"/>
      <c r="P33" s="17"/>
      <c r="Q33" s="17"/>
      <c r="R33" s="17"/>
      <c r="S33" s="17"/>
      <c r="T33" s="17"/>
      <c r="U33" s="17">
        <v>50</v>
      </c>
      <c r="V33" s="17"/>
      <c r="W33" s="19">
        <f t="shared" si="8"/>
        <v>428</v>
      </c>
      <c r="X33" s="19">
        <f t="shared" si="9"/>
        <v>47.5555555555556</v>
      </c>
      <c r="Y33" s="19">
        <f t="shared" si="10"/>
        <v>29</v>
      </c>
      <c r="Z33" s="20"/>
      <c r="AA33" s="21" t="str">
        <f t="shared" si="0"/>
        <v>F</v>
      </c>
      <c r="AB33" s="21" t="str">
        <f t="shared" si="1"/>
        <v>S</v>
      </c>
      <c r="AC33" s="21" t="str">
        <f t="shared" si="2"/>
        <v>S</v>
      </c>
      <c r="AD33" s="21" t="str">
        <f t="shared" si="3"/>
        <v>S</v>
      </c>
      <c r="AE33" s="21" t="str">
        <f t="shared" si="4"/>
        <v>B</v>
      </c>
      <c r="AF33" s="21" t="str">
        <f t="shared" si="5"/>
        <v>C</v>
      </c>
      <c r="AG33" s="21" t="str">
        <f t="shared" si="6"/>
        <v>A</v>
      </c>
      <c r="AH33" s="21"/>
      <c r="AI33" s="21"/>
      <c r="AJ33" s="21"/>
      <c r="AK33" s="21"/>
      <c r="AL33" s="21"/>
      <c r="AM33" s="21" t="str">
        <f t="shared" si="7"/>
        <v>F</v>
      </c>
      <c r="AN33" s="21"/>
      <c r="AO33" s="21"/>
      <c r="AP33" s="21"/>
      <c r="AQ33" s="21" t="str">
        <f>IF(U33="AB","AB",IF(U33&gt;=75,"A",IF(U33&gt;=65,"B",IF(U33&gt;=55,"C",IF(U33&gt;=35,"S","F")))))</f>
        <v>S</v>
      </c>
      <c r="AR33" s="21"/>
      <c r="AS33" s="22">
        <v>25</v>
      </c>
      <c r="AT33" s="23">
        <f t="shared" si="11"/>
        <v>1</v>
      </c>
      <c r="AU33" s="23">
        <f t="shared" si="12"/>
        <v>1</v>
      </c>
      <c r="AV33" s="23">
        <f t="shared" si="13"/>
        <v>1</v>
      </c>
      <c r="AW33" s="23">
        <f t="shared" si="14"/>
        <v>4</v>
      </c>
      <c r="AX33" s="23">
        <f t="shared" si="15"/>
        <v>2</v>
      </c>
    </row>
    <row r="34" spans="2:50">
      <c r="B34" s="15">
        <v>26</v>
      </c>
      <c r="C34" s="16">
        <v>5190</v>
      </c>
      <c r="D34" s="17" t="s">
        <v>119</v>
      </c>
      <c r="E34" s="18">
        <v>34</v>
      </c>
      <c r="F34" s="17">
        <v>40</v>
      </c>
      <c r="G34" s="17">
        <v>24</v>
      </c>
      <c r="H34" s="17">
        <v>25</v>
      </c>
      <c r="I34" s="17">
        <v>72</v>
      </c>
      <c r="J34" s="17">
        <v>35</v>
      </c>
      <c r="K34" s="17">
        <v>57</v>
      </c>
      <c r="L34" s="17">
        <v>50</v>
      </c>
      <c r="M34" s="17"/>
      <c r="N34" s="17"/>
      <c r="O34" s="17"/>
      <c r="P34" s="17"/>
      <c r="Q34" s="17"/>
      <c r="R34" s="17"/>
      <c r="S34" s="17"/>
      <c r="T34" s="17"/>
      <c r="U34" s="17">
        <v>45</v>
      </c>
      <c r="V34" s="17"/>
      <c r="W34" s="19">
        <f t="shared" si="8"/>
        <v>382</v>
      </c>
      <c r="X34" s="19">
        <f t="shared" si="9"/>
        <v>42.4444444444444</v>
      </c>
      <c r="Y34" s="19">
        <f t="shared" si="10"/>
        <v>30</v>
      </c>
      <c r="Z34" s="20"/>
      <c r="AA34" s="21" t="str">
        <f t="shared" si="0"/>
        <v>F</v>
      </c>
      <c r="AB34" s="21" t="str">
        <f t="shared" si="1"/>
        <v>S</v>
      </c>
      <c r="AC34" s="21" t="str">
        <f t="shared" si="2"/>
        <v>F</v>
      </c>
      <c r="AD34" s="21" t="str">
        <f t="shared" si="3"/>
        <v>F</v>
      </c>
      <c r="AE34" s="21" t="str">
        <f t="shared" si="4"/>
        <v>B</v>
      </c>
      <c r="AF34" s="21" t="str">
        <f t="shared" si="5"/>
        <v>S</v>
      </c>
      <c r="AG34" s="21" t="str">
        <f t="shared" si="6"/>
        <v>C</v>
      </c>
      <c r="AH34" s="21" t="str">
        <f>IF(L34="AB","AB",IF(L34&gt;=75,"A",IF(L34&gt;=65,"B",IF(L34&gt;=55,"C",IF(L34&gt;=35,"S","F")))))</f>
        <v>S</v>
      </c>
      <c r="AI34" s="21"/>
      <c r="AJ34" s="21"/>
      <c r="AK34" s="21"/>
      <c r="AL34" s="21"/>
      <c r="AM34" s="21" t="str">
        <f t="shared" si="7"/>
        <v>F</v>
      </c>
      <c r="AN34" s="21"/>
      <c r="AO34" s="21"/>
      <c r="AP34" s="21"/>
      <c r="AQ34" s="21" t="str">
        <f>IF(U34="AB","AB",IF(U34&gt;=75,"A",IF(U34&gt;=65,"B",IF(U34&gt;=55,"C",IF(U34&gt;=35,"S","F")))))</f>
        <v>S</v>
      </c>
      <c r="AR34" s="21"/>
      <c r="AS34" s="22">
        <v>26</v>
      </c>
      <c r="AT34" s="23">
        <f t="shared" si="11"/>
        <v>0</v>
      </c>
      <c r="AU34" s="23">
        <f t="shared" si="12"/>
        <v>1</v>
      </c>
      <c r="AV34" s="23">
        <f t="shared" si="13"/>
        <v>1</v>
      </c>
      <c r="AW34" s="23">
        <f t="shared" si="14"/>
        <v>4</v>
      </c>
      <c r="AX34" s="23">
        <f t="shared" si="15"/>
        <v>4</v>
      </c>
    </row>
    <row r="35" spans="2:50">
      <c r="B35" s="15">
        <v>27</v>
      </c>
      <c r="C35" s="16">
        <v>5191</v>
      </c>
      <c r="D35" s="17" t="s">
        <v>120</v>
      </c>
      <c r="E35" s="18">
        <v>39</v>
      </c>
      <c r="F35" s="17">
        <v>41</v>
      </c>
      <c r="G35" s="17">
        <v>70</v>
      </c>
      <c r="H35" s="17">
        <v>51</v>
      </c>
      <c r="I35" s="17">
        <v>82</v>
      </c>
      <c r="J35" s="17">
        <v>56</v>
      </c>
      <c r="K35" s="17">
        <v>69</v>
      </c>
      <c r="L35" s="17">
        <v>59</v>
      </c>
      <c r="M35" s="17"/>
      <c r="N35" s="17"/>
      <c r="O35" s="17"/>
      <c r="P35" s="17"/>
      <c r="Q35" s="17"/>
      <c r="R35" s="17"/>
      <c r="S35" s="17"/>
      <c r="T35" s="17"/>
      <c r="U35" s="17"/>
      <c r="V35" s="17">
        <v>35</v>
      </c>
      <c r="W35" s="19">
        <f t="shared" si="8"/>
        <v>502</v>
      </c>
      <c r="X35" s="19">
        <f t="shared" si="9"/>
        <v>55.7777777777778</v>
      </c>
      <c r="Y35" s="19">
        <f t="shared" si="10"/>
        <v>22</v>
      </c>
      <c r="Z35" s="20"/>
      <c r="AA35" s="21" t="str">
        <f t="shared" si="0"/>
        <v>S</v>
      </c>
      <c r="AB35" s="21" t="str">
        <f t="shared" si="1"/>
        <v>S</v>
      </c>
      <c r="AC35" s="21" t="str">
        <f t="shared" si="2"/>
        <v>B</v>
      </c>
      <c r="AD35" s="21" t="str">
        <f t="shared" si="3"/>
        <v>S</v>
      </c>
      <c r="AE35" s="21" t="str">
        <f t="shared" si="4"/>
        <v>A</v>
      </c>
      <c r="AF35" s="21" t="str">
        <f t="shared" si="5"/>
        <v>C</v>
      </c>
      <c r="AG35" s="21" t="str">
        <f t="shared" si="6"/>
        <v>B</v>
      </c>
      <c r="AH35" s="21" t="str">
        <f>IF(L35="AB","AB",IF(L35&gt;=75,"A",IF(L35&gt;=65,"B",IF(L35&gt;=55,"C",IF(L35&gt;=35,"S","F")))))</f>
        <v>C</v>
      </c>
      <c r="AI35" s="21"/>
      <c r="AJ35" s="21"/>
      <c r="AK35" s="21"/>
      <c r="AL35" s="21"/>
      <c r="AM35" s="21" t="str">
        <f t="shared" si="7"/>
        <v>F</v>
      </c>
      <c r="AN35" s="21"/>
      <c r="AO35" s="21"/>
      <c r="AP35" s="21"/>
      <c r="AQ35" s="21"/>
      <c r="AR35" s="21" t="str">
        <f>IF(V35="AB","AB",IF(V35&gt;=75,"A",IF(V35&gt;=65,"B",IF(V35&gt;=55,"C",IF(V35&gt;=35,"S","F")))))</f>
        <v>S</v>
      </c>
      <c r="AS35" s="22">
        <v>27</v>
      </c>
      <c r="AT35" s="23">
        <f t="shared" si="11"/>
        <v>1</v>
      </c>
      <c r="AU35" s="23">
        <f t="shared" si="12"/>
        <v>2</v>
      </c>
      <c r="AV35" s="23">
        <f t="shared" si="13"/>
        <v>2</v>
      </c>
      <c r="AW35" s="23">
        <f t="shared" si="14"/>
        <v>4</v>
      </c>
      <c r="AX35" s="23">
        <f t="shared" si="15"/>
        <v>1</v>
      </c>
    </row>
    <row r="36" spans="2:50">
      <c r="B36" s="15">
        <v>28</v>
      </c>
      <c r="C36" s="16">
        <v>5212</v>
      </c>
      <c r="D36" s="17" t="s">
        <v>121</v>
      </c>
      <c r="E36" s="18">
        <v>41</v>
      </c>
      <c r="F36" s="17">
        <v>39</v>
      </c>
      <c r="G36" s="17">
        <v>70</v>
      </c>
      <c r="H36" s="17">
        <v>52</v>
      </c>
      <c r="I36" s="17">
        <v>88</v>
      </c>
      <c r="J36" s="17">
        <v>61</v>
      </c>
      <c r="K36" s="17">
        <v>79</v>
      </c>
      <c r="L36" s="17"/>
      <c r="M36" s="17"/>
      <c r="N36" s="17">
        <v>77</v>
      </c>
      <c r="O36" s="17"/>
      <c r="P36" s="17"/>
      <c r="Q36" s="17"/>
      <c r="R36" s="17"/>
      <c r="S36" s="17"/>
      <c r="T36" s="17"/>
      <c r="U36" s="17">
        <v>40</v>
      </c>
      <c r="V36" s="17"/>
      <c r="W36" s="19">
        <f t="shared" si="8"/>
        <v>547</v>
      </c>
      <c r="X36" s="19">
        <f t="shared" si="9"/>
        <v>60.7777777777778</v>
      </c>
      <c r="Y36" s="19">
        <f t="shared" si="10"/>
        <v>15</v>
      </c>
      <c r="Z36" s="20"/>
      <c r="AA36" s="21" t="str">
        <f t="shared" si="0"/>
        <v>S</v>
      </c>
      <c r="AB36" s="21" t="str">
        <f t="shared" si="1"/>
        <v>S</v>
      </c>
      <c r="AC36" s="21" t="str">
        <f t="shared" si="2"/>
        <v>B</v>
      </c>
      <c r="AD36" s="21" t="str">
        <f t="shared" si="3"/>
        <v>S</v>
      </c>
      <c r="AE36" s="21" t="str">
        <f t="shared" si="4"/>
        <v>A</v>
      </c>
      <c r="AF36" s="21" t="str">
        <f t="shared" si="5"/>
        <v>C</v>
      </c>
      <c r="AG36" s="21" t="str">
        <f t="shared" si="6"/>
        <v>A</v>
      </c>
      <c r="AH36" s="21"/>
      <c r="AI36" s="21"/>
      <c r="AJ36" s="21" t="str">
        <f>IF(N36="AB","AB",IF(N36&gt;=75,"A",IF(N36&gt;=65,"B",IF(N36&gt;=55,"C",IF(N36&gt;=35,"S","F")))))</f>
        <v>A</v>
      </c>
      <c r="AK36" s="21"/>
      <c r="AL36" s="21"/>
      <c r="AM36" s="21" t="str">
        <f t="shared" si="7"/>
        <v>F</v>
      </c>
      <c r="AN36" s="21"/>
      <c r="AO36" s="21"/>
      <c r="AP36" s="21"/>
      <c r="AQ36" s="21" t="str">
        <f>IF(U36="AB","AB",IF(U36&gt;=75,"A",IF(U36&gt;=65,"B",IF(U36&gt;=55,"C",IF(U36&gt;=35,"S","F")))))</f>
        <v>S</v>
      </c>
      <c r="AR36" s="21"/>
      <c r="AS36" s="22">
        <v>28</v>
      </c>
      <c r="AT36" s="23">
        <f t="shared" si="11"/>
        <v>3</v>
      </c>
      <c r="AU36" s="23">
        <f t="shared" si="12"/>
        <v>1</v>
      </c>
      <c r="AV36" s="23">
        <f t="shared" si="13"/>
        <v>1</v>
      </c>
      <c r="AW36" s="23">
        <f t="shared" si="14"/>
        <v>4</v>
      </c>
      <c r="AX36" s="23">
        <f t="shared" si="15"/>
        <v>1</v>
      </c>
    </row>
    <row r="37" spans="2:50">
      <c r="B37" s="15">
        <v>29</v>
      </c>
      <c r="C37" s="16">
        <v>5239</v>
      </c>
      <c r="D37" s="17" t="s">
        <v>122</v>
      </c>
      <c r="E37" s="18">
        <v>39</v>
      </c>
      <c r="F37" s="17">
        <v>52</v>
      </c>
      <c r="G37" s="17">
        <v>49</v>
      </c>
      <c r="H37" s="17">
        <v>51</v>
      </c>
      <c r="I37" s="17">
        <v>86</v>
      </c>
      <c r="J37" s="17">
        <v>67</v>
      </c>
      <c r="K37" s="17">
        <v>60</v>
      </c>
      <c r="L37" s="17">
        <v>65</v>
      </c>
      <c r="M37" s="17"/>
      <c r="N37" s="17"/>
      <c r="O37" s="17"/>
      <c r="P37" s="17"/>
      <c r="Q37" s="17"/>
      <c r="R37" s="17"/>
      <c r="S37" s="17"/>
      <c r="T37" s="17"/>
      <c r="U37" s="17"/>
      <c r="V37" s="17">
        <v>42</v>
      </c>
      <c r="W37" s="19">
        <f t="shared" si="8"/>
        <v>511</v>
      </c>
      <c r="X37" s="19">
        <f t="shared" si="9"/>
        <v>56.7777777777778</v>
      </c>
      <c r="Y37" s="19">
        <f t="shared" si="10"/>
        <v>21</v>
      </c>
      <c r="Z37" s="20"/>
      <c r="AA37" s="21" t="str">
        <f t="shared" si="0"/>
        <v>S</v>
      </c>
      <c r="AB37" s="21" t="str">
        <f t="shared" si="1"/>
        <v>S</v>
      </c>
      <c r="AC37" s="21" t="str">
        <f t="shared" si="2"/>
        <v>S</v>
      </c>
      <c r="AD37" s="21" t="str">
        <f t="shared" si="3"/>
        <v>S</v>
      </c>
      <c r="AE37" s="21" t="str">
        <f t="shared" si="4"/>
        <v>A</v>
      </c>
      <c r="AF37" s="21" t="str">
        <f t="shared" si="5"/>
        <v>B</v>
      </c>
      <c r="AG37" s="21" t="str">
        <f t="shared" si="6"/>
        <v>C</v>
      </c>
      <c r="AH37" s="21" t="str">
        <f>IF(L37="AB","AB",IF(L37&gt;=75,"A",IF(L37&gt;=65,"B",IF(L37&gt;=55,"C",IF(L37&gt;=35,"S","F")))))</f>
        <v>B</v>
      </c>
      <c r="AI37" s="21"/>
      <c r="AJ37" s="21"/>
      <c r="AK37" s="21"/>
      <c r="AL37" s="21"/>
      <c r="AM37" s="21" t="str">
        <f t="shared" si="7"/>
        <v>F</v>
      </c>
      <c r="AN37" s="21"/>
      <c r="AO37" s="21"/>
      <c r="AP37" s="21"/>
      <c r="AQ37" s="21"/>
      <c r="AR37" s="21" t="str">
        <f>IF(V37="AB","AB",IF(V37&gt;=75,"A",IF(V37&gt;=65,"B",IF(V37&gt;=55,"C",IF(V37&gt;=35,"S","F")))))</f>
        <v>S</v>
      </c>
      <c r="AS37" s="22">
        <v>29</v>
      </c>
      <c r="AT37" s="23">
        <f t="shared" si="11"/>
        <v>1</v>
      </c>
      <c r="AU37" s="23">
        <f t="shared" si="12"/>
        <v>2</v>
      </c>
      <c r="AV37" s="23">
        <f t="shared" si="13"/>
        <v>1</v>
      </c>
      <c r="AW37" s="23">
        <f t="shared" si="14"/>
        <v>5</v>
      </c>
      <c r="AX37" s="23">
        <f t="shared" si="15"/>
        <v>1</v>
      </c>
    </row>
    <row r="38" spans="2:50">
      <c r="B38" s="15">
        <v>30</v>
      </c>
      <c r="C38" s="16">
        <v>5840</v>
      </c>
      <c r="D38" s="17" t="s">
        <v>123</v>
      </c>
      <c r="E38" s="18">
        <v>39</v>
      </c>
      <c r="F38" s="17">
        <v>46</v>
      </c>
      <c r="G38" s="17">
        <v>44</v>
      </c>
      <c r="H38" s="17">
        <v>42</v>
      </c>
      <c r="I38" s="17">
        <v>84</v>
      </c>
      <c r="J38" s="17">
        <v>81</v>
      </c>
      <c r="K38" s="17">
        <v>69</v>
      </c>
      <c r="L38" s="17">
        <v>61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9">
        <f t="shared" si="8"/>
        <v>466</v>
      </c>
      <c r="X38" s="19">
        <f t="shared" si="9"/>
        <v>51.7777777777778</v>
      </c>
      <c r="Y38" s="19">
        <f t="shared" si="10"/>
        <v>25</v>
      </c>
      <c r="Z38" s="20"/>
      <c r="AA38" s="21" t="str">
        <f t="shared" si="0"/>
        <v>S</v>
      </c>
      <c r="AB38" s="21" t="str">
        <f t="shared" si="1"/>
        <v>S</v>
      </c>
      <c r="AC38" s="21" t="str">
        <f t="shared" si="2"/>
        <v>S</v>
      </c>
      <c r="AD38" s="21" t="str">
        <f t="shared" si="3"/>
        <v>S</v>
      </c>
      <c r="AE38" s="21" t="str">
        <f t="shared" si="4"/>
        <v>A</v>
      </c>
      <c r="AF38" s="21" t="str">
        <f t="shared" si="5"/>
        <v>A</v>
      </c>
      <c r="AG38" s="21" t="str">
        <f t="shared" si="6"/>
        <v>B</v>
      </c>
      <c r="AH38" s="21" t="str">
        <f>IF(L38="AB","AB",IF(L38&gt;=75,"A",IF(L38&gt;=65,"B",IF(L38&gt;=55,"C",IF(L38&gt;=35,"S","F")))))</f>
        <v>C</v>
      </c>
      <c r="AI38" s="21"/>
      <c r="AJ38" s="21"/>
      <c r="AK38" s="21"/>
      <c r="AL38" s="21"/>
      <c r="AM38" s="21" t="str">
        <f t="shared" si="7"/>
        <v>F</v>
      </c>
      <c r="AN38" s="21"/>
      <c r="AO38" s="21"/>
      <c r="AP38" s="21"/>
      <c r="AQ38" s="21"/>
      <c r="AR38" s="21"/>
      <c r="AS38" s="22">
        <v>30</v>
      </c>
      <c r="AT38" s="23">
        <f t="shared" si="11"/>
        <v>2</v>
      </c>
      <c r="AU38" s="23">
        <f t="shared" si="12"/>
        <v>1</v>
      </c>
      <c r="AV38" s="23">
        <f t="shared" si="13"/>
        <v>1</v>
      </c>
      <c r="AW38" s="23">
        <f t="shared" si="14"/>
        <v>4</v>
      </c>
      <c r="AX38" s="23">
        <f t="shared" si="15"/>
        <v>1</v>
      </c>
    </row>
    <row r="39" spans="2:50">
      <c r="C39" s="29"/>
      <c r="D39" s="29"/>
      <c r="E39" s="30"/>
      <c r="F39" s="29"/>
      <c r="G39" s="29"/>
      <c r="H39" s="29"/>
      <c r="I39" s="29"/>
      <c r="J39" s="29"/>
      <c r="K39" s="29"/>
      <c r="L39" s="29"/>
      <c r="M39" s="29"/>
      <c r="N39" s="3"/>
      <c r="O39" s="3"/>
      <c r="P39" s="3"/>
      <c r="Q39" s="3"/>
      <c r="W39" s="31"/>
      <c r="X39" s="31"/>
      <c r="Y39" s="31"/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3"/>
    </row>
    <row r="40" spans="2:50">
      <c r="W40" s="31"/>
      <c r="X40" s="31"/>
      <c r="Y40" s="31"/>
      <c r="Z40" s="31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3"/>
    </row>
    <row r="41" spans="2:50">
      <c r="W41" s="31"/>
      <c r="X41" s="31"/>
      <c r="Y41" s="31"/>
      <c r="Z41" s="31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3"/>
    </row>
    <row r="42" spans="2:50">
      <c r="W42" s="31"/>
      <c r="X42" s="31"/>
      <c r="Y42" s="31"/>
      <c r="Z42" s="31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3"/>
    </row>
    <row r="43" spans="2:50">
      <c r="W43" s="31"/>
      <c r="X43" s="31"/>
      <c r="Y43" s="31"/>
      <c r="Z43" s="31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3"/>
    </row>
    <row r="44" spans="2:50">
      <c r="W44" s="31"/>
      <c r="X44" s="31"/>
      <c r="Y44" s="31"/>
      <c r="Z44" s="31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3"/>
    </row>
    <row r="45" spans="2:50">
      <c r="W45" s="31"/>
      <c r="X45" s="31"/>
      <c r="Y45" s="31"/>
      <c r="Z45" s="31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3"/>
    </row>
    <row r="46" spans="2:50">
      <c r="W46" s="31"/>
      <c r="X46" s="31"/>
      <c r="Y46" s="31"/>
      <c r="Z46" s="31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3"/>
    </row>
    <row r="47" spans="2:50">
      <c r="W47" s="31"/>
      <c r="X47" s="31"/>
      <c r="Y47" s="31"/>
      <c r="Z47" s="31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3"/>
    </row>
    <row r="48" spans="2:50">
      <c r="W48" s="31"/>
      <c r="X48" s="31"/>
      <c r="Y48" s="31"/>
      <c r="Z48" s="31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3"/>
    </row>
    <row r="50" spans="3:22">
      <c r="D50" s="34" t="s">
        <v>75</v>
      </c>
      <c r="E50" s="21">
        <f t="shared" ref="E50:V50" si="16">COUNTIF(AA9:AA40,"A")</f>
        <v>3</v>
      </c>
      <c r="F50" s="21">
        <f t="shared" si="16"/>
        <v>7</v>
      </c>
      <c r="G50" s="21">
        <f t="shared" si="16"/>
        <v>11</v>
      </c>
      <c r="H50" s="21">
        <f t="shared" si="16"/>
        <v>8</v>
      </c>
      <c r="I50" s="21">
        <f t="shared" si="16"/>
        <v>28</v>
      </c>
      <c r="J50" s="21">
        <f t="shared" si="16"/>
        <v>8</v>
      </c>
      <c r="K50" s="21">
        <f t="shared" si="16"/>
        <v>22</v>
      </c>
      <c r="L50" s="21">
        <f t="shared" si="16"/>
        <v>1</v>
      </c>
      <c r="M50" s="21">
        <f t="shared" si="16"/>
        <v>2</v>
      </c>
      <c r="N50" s="21">
        <f t="shared" si="16"/>
        <v>5</v>
      </c>
      <c r="O50" s="21">
        <f t="shared" si="16"/>
        <v>1</v>
      </c>
      <c r="P50" s="21">
        <f t="shared" si="16"/>
        <v>0</v>
      </c>
      <c r="Q50" s="21">
        <f t="shared" si="16"/>
        <v>0</v>
      </c>
      <c r="R50" s="21">
        <f t="shared" si="16"/>
        <v>1</v>
      </c>
      <c r="S50" s="21">
        <f t="shared" si="16"/>
        <v>5</v>
      </c>
      <c r="T50" s="21">
        <f t="shared" si="16"/>
        <v>0</v>
      </c>
      <c r="U50" s="21">
        <f t="shared" si="16"/>
        <v>1</v>
      </c>
      <c r="V50" s="21">
        <f t="shared" si="16"/>
        <v>1</v>
      </c>
    </row>
    <row r="51" spans="3:22">
      <c r="D51" s="35" t="s">
        <v>77</v>
      </c>
      <c r="E51" s="21">
        <f t="shared" ref="E51:U51" si="17">COUNTIF(AB9:AB40,"B")</f>
        <v>1</v>
      </c>
      <c r="F51" s="21">
        <f t="shared" si="17"/>
        <v>5</v>
      </c>
      <c r="G51" s="21">
        <f t="shared" si="17"/>
        <v>4</v>
      </c>
      <c r="H51" s="21">
        <f t="shared" si="17"/>
        <v>2</v>
      </c>
      <c r="I51" s="21">
        <f t="shared" si="17"/>
        <v>5</v>
      </c>
      <c r="J51" s="21">
        <f t="shared" si="17"/>
        <v>4</v>
      </c>
      <c r="K51" s="21">
        <f t="shared" si="17"/>
        <v>5</v>
      </c>
      <c r="L51" s="21">
        <f t="shared" si="17"/>
        <v>0</v>
      </c>
      <c r="M51" s="21">
        <f t="shared" si="17"/>
        <v>0</v>
      </c>
      <c r="N51" s="21">
        <f t="shared" si="17"/>
        <v>0</v>
      </c>
      <c r="O51" s="21">
        <f t="shared" si="17"/>
        <v>0</v>
      </c>
      <c r="P51" s="21">
        <f t="shared" si="17"/>
        <v>0</v>
      </c>
      <c r="Q51" s="21">
        <f t="shared" si="17"/>
        <v>0</v>
      </c>
      <c r="R51" s="21">
        <f t="shared" si="17"/>
        <v>1</v>
      </c>
      <c r="S51" s="21">
        <f t="shared" si="17"/>
        <v>0</v>
      </c>
      <c r="T51" s="21">
        <f t="shared" si="17"/>
        <v>0</v>
      </c>
      <c r="U51" s="21">
        <f t="shared" si="17"/>
        <v>4</v>
      </c>
      <c r="V51" s="21">
        <f>COUNTIF(AT9:AT40,"B")</f>
        <v>0</v>
      </c>
    </row>
    <row r="52" spans="3:22">
      <c r="D52" s="36" t="s">
        <v>79</v>
      </c>
      <c r="E52" s="21">
        <f t="shared" ref="E52:V52" si="18">COUNTIF(AA9:AA40,"C")</f>
        <v>1</v>
      </c>
      <c r="F52" s="21">
        <f t="shared" si="18"/>
        <v>7</v>
      </c>
      <c r="G52" s="21">
        <f t="shared" si="18"/>
        <v>5</v>
      </c>
      <c r="H52" s="21">
        <f t="shared" si="18"/>
        <v>6</v>
      </c>
      <c r="I52" s="21">
        <f t="shared" si="18"/>
        <v>0</v>
      </c>
      <c r="J52" s="21">
        <f t="shared" si="18"/>
        <v>8</v>
      </c>
      <c r="K52" s="21">
        <f t="shared" si="18"/>
        <v>2</v>
      </c>
      <c r="L52" s="21">
        <f t="shared" si="18"/>
        <v>4</v>
      </c>
      <c r="M52" s="21">
        <f t="shared" si="18"/>
        <v>1</v>
      </c>
      <c r="N52" s="21">
        <f t="shared" si="18"/>
        <v>0</v>
      </c>
      <c r="O52" s="21">
        <f t="shared" si="18"/>
        <v>0</v>
      </c>
      <c r="P52" s="21">
        <f t="shared" si="18"/>
        <v>0</v>
      </c>
      <c r="Q52" s="21">
        <f t="shared" si="18"/>
        <v>0</v>
      </c>
      <c r="R52" s="21">
        <f t="shared" si="18"/>
        <v>1</v>
      </c>
      <c r="S52" s="21">
        <f t="shared" si="18"/>
        <v>1</v>
      </c>
      <c r="T52" s="21">
        <f t="shared" si="18"/>
        <v>0</v>
      </c>
      <c r="U52" s="21">
        <f t="shared" si="18"/>
        <v>0</v>
      </c>
      <c r="V52" s="21">
        <f t="shared" si="18"/>
        <v>3</v>
      </c>
    </row>
    <row r="53" spans="3:22">
      <c r="D53" s="37" t="s">
        <v>81</v>
      </c>
      <c r="E53" s="21">
        <f t="shared" ref="E53:V53" si="19">COUNTIF(AA9:AA40,"S")</f>
        <v>15</v>
      </c>
      <c r="F53" s="21">
        <f t="shared" si="19"/>
        <v>15</v>
      </c>
      <c r="G53" s="21">
        <f t="shared" si="19"/>
        <v>7</v>
      </c>
      <c r="H53" s="21">
        <f t="shared" si="19"/>
        <v>11</v>
      </c>
      <c r="I53" s="21">
        <f t="shared" si="19"/>
        <v>0</v>
      </c>
      <c r="J53" s="21">
        <f t="shared" si="19"/>
        <v>8</v>
      </c>
      <c r="K53" s="21">
        <f t="shared" si="19"/>
        <v>2</v>
      </c>
      <c r="L53" s="21">
        <f t="shared" si="19"/>
        <v>2</v>
      </c>
      <c r="M53" s="21">
        <f t="shared" si="19"/>
        <v>0</v>
      </c>
      <c r="N53" s="21">
        <f t="shared" si="19"/>
        <v>0</v>
      </c>
      <c r="O53" s="21">
        <f t="shared" si="19"/>
        <v>0</v>
      </c>
      <c r="P53" s="21">
        <f t="shared" si="19"/>
        <v>0</v>
      </c>
      <c r="Q53" s="21">
        <f t="shared" si="19"/>
        <v>0</v>
      </c>
      <c r="R53" s="21">
        <f t="shared" si="19"/>
        <v>2</v>
      </c>
      <c r="S53" s="21">
        <f t="shared" si="19"/>
        <v>1</v>
      </c>
      <c r="T53" s="21">
        <f t="shared" si="19"/>
        <v>0</v>
      </c>
      <c r="U53" s="21">
        <f t="shared" si="19"/>
        <v>4</v>
      </c>
      <c r="V53" s="21">
        <f t="shared" si="19"/>
        <v>4</v>
      </c>
    </row>
    <row r="54" spans="3:22">
      <c r="D54" s="38" t="s">
        <v>83</v>
      </c>
      <c r="E54" s="21">
        <f t="shared" ref="E54:V54" si="20">COUNTIF(AA9:AA40,"F")</f>
        <v>7</v>
      </c>
      <c r="F54" s="21">
        <f t="shared" si="20"/>
        <v>0</v>
      </c>
      <c r="G54" s="21">
        <f t="shared" si="20"/>
        <v>2</v>
      </c>
      <c r="H54" s="21">
        <f t="shared" si="20"/>
        <v>1</v>
      </c>
      <c r="I54" s="21">
        <f t="shared" si="20"/>
        <v>0</v>
      </c>
      <c r="J54" s="21">
        <f t="shared" si="20"/>
        <v>1</v>
      </c>
      <c r="K54" s="21">
        <f t="shared" si="20"/>
        <v>0</v>
      </c>
      <c r="L54" s="21">
        <f t="shared" si="20"/>
        <v>0</v>
      </c>
      <c r="M54" s="21">
        <f t="shared" si="20"/>
        <v>0</v>
      </c>
      <c r="N54" s="21">
        <f t="shared" si="20"/>
        <v>0</v>
      </c>
      <c r="O54" s="21">
        <f t="shared" si="20"/>
        <v>0</v>
      </c>
      <c r="P54" s="21">
        <f t="shared" si="20"/>
        <v>0</v>
      </c>
      <c r="Q54" s="21">
        <f t="shared" si="20"/>
        <v>30</v>
      </c>
      <c r="R54" s="21">
        <f t="shared" si="20"/>
        <v>0</v>
      </c>
      <c r="S54" s="21">
        <f t="shared" si="20"/>
        <v>0</v>
      </c>
      <c r="T54" s="21">
        <f t="shared" si="20"/>
        <v>0</v>
      </c>
      <c r="U54" s="21">
        <f t="shared" si="20"/>
        <v>0</v>
      </c>
      <c r="V54" s="21">
        <f t="shared" si="20"/>
        <v>0</v>
      </c>
    </row>
    <row r="55" spans="3:22">
      <c r="L55" s="3"/>
      <c r="M55" s="3"/>
      <c r="N55" s="3"/>
      <c r="O55" s="3"/>
      <c r="P55" s="3"/>
      <c r="Q55" s="3"/>
    </row>
    <row r="56" spans="3:22">
      <c r="L56" s="3"/>
      <c r="M56" s="3"/>
      <c r="N56" s="3"/>
      <c r="O56" s="3"/>
      <c r="P56" s="3"/>
      <c r="Q56" s="3"/>
    </row>
    <row r="57" spans="3:22">
      <c r="L57" s="3"/>
      <c r="M57" s="3"/>
      <c r="N57" s="3"/>
      <c r="O57" s="3"/>
      <c r="P57" s="3"/>
      <c r="Q57" s="3"/>
    </row>
    <row r="60" spans="3:22">
      <c r="C60" s="39"/>
      <c r="D60" s="39" t="s">
        <v>124</v>
      </c>
      <c r="E60" s="39"/>
      <c r="F60" s="39"/>
      <c r="G60" s="39"/>
      <c r="H60" s="39"/>
      <c r="I60" s="39"/>
      <c r="J60" s="39"/>
      <c r="K60" s="39"/>
      <c r="L60" s="40"/>
      <c r="M60" s="40"/>
    </row>
    <row r="61" spans="3:22">
      <c r="C61" s="39"/>
      <c r="D61" s="39" t="s">
        <v>125</v>
      </c>
      <c r="E61" s="39"/>
      <c r="F61" s="39"/>
      <c r="G61" s="39"/>
      <c r="H61" s="39"/>
      <c r="I61" s="39"/>
      <c r="J61" s="39"/>
      <c r="K61" s="39"/>
      <c r="L61" s="40"/>
      <c r="M61" s="40"/>
    </row>
    <row r="62" spans="3:22">
      <c r="C62" s="39"/>
      <c r="D62" s="39" t="s">
        <v>126</v>
      </c>
      <c r="E62" s="39"/>
      <c r="F62" s="39"/>
      <c r="G62" s="39"/>
      <c r="H62" s="39"/>
      <c r="I62" s="39"/>
      <c r="J62" s="39"/>
      <c r="K62" s="39"/>
      <c r="L62" s="40"/>
      <c r="M62" s="40"/>
    </row>
    <row r="63" spans="3:22">
      <c r="C63" s="39"/>
      <c r="D63" s="39" t="s">
        <v>127</v>
      </c>
      <c r="E63" s="39"/>
      <c r="F63" s="39"/>
      <c r="G63" s="39"/>
      <c r="H63" s="39"/>
      <c r="I63" s="39"/>
      <c r="J63" s="39"/>
      <c r="K63" s="39"/>
      <c r="L63" s="40"/>
      <c r="M63" s="40"/>
    </row>
    <row r="64" spans="3:22"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40"/>
    </row>
    <row r="65" spans="3:13">
      <c r="C65" s="39"/>
      <c r="D65" s="39"/>
      <c r="E65" s="39"/>
      <c r="F65" s="39"/>
      <c r="G65" s="39"/>
      <c r="H65" s="39"/>
      <c r="I65" s="39"/>
      <c r="J65" s="39"/>
      <c r="K65" s="39"/>
      <c r="L65" s="40"/>
      <c r="M65" s="40"/>
    </row>
  </sheetData>
  <mergeCells count="31">
    <mergeCell ref="L7:Q7"/>
    <mergeCell ref="R7:V7"/>
    <mergeCell ref="AH7:AM7"/>
    <mergeCell ref="AN7:AR7"/>
    <mergeCell ref="AT7:AX7"/>
    <mergeCell ref="W6:W8"/>
    <mergeCell ref="X6:X8"/>
    <mergeCell ref="Y6:Y8"/>
    <mergeCell ref="AA7:AA8"/>
    <mergeCell ref="AB7:AB8"/>
    <mergeCell ref="AC7:AC8"/>
    <mergeCell ref="AD7:AD8"/>
    <mergeCell ref="AE7:AE8"/>
    <mergeCell ref="AF7:AF8"/>
    <mergeCell ref="AG7:AG8"/>
    <mergeCell ref="AS7:AS8"/>
    <mergeCell ref="B2:AX2"/>
    <mergeCell ref="B3:C3"/>
    <mergeCell ref="B4:D4"/>
    <mergeCell ref="E6:V6"/>
    <mergeCell ref="AA6:AX6"/>
    <mergeCell ref="B6:B8"/>
    <mergeCell ref="C6:C8"/>
    <mergeCell ref="D6:D8"/>
    <mergeCell ref="E7:E8"/>
    <mergeCell ref="F7:F8"/>
    <mergeCell ref="G7:G8"/>
    <mergeCell ref="H7:H8"/>
    <mergeCell ref="I7:I8"/>
    <mergeCell ref="J7:J8"/>
    <mergeCell ref="K7:K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Udara Prabhath</dc:creator>
  <cp:lastModifiedBy>Student</cp:lastModifiedBy>
  <cp:lastPrinted>2026-05-05T09:08:00Z</cp:lastPrinted>
  <dcterms:created xsi:type="dcterms:W3CDTF">2023-06-26T03:36:00Z</dcterms:created>
  <dcterms:modified xsi:type="dcterms:W3CDTF">2026-07-26T04:23:38Z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CFD3A56060AA492FB305D2177D0D102E_12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